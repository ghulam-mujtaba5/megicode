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ula\OneDrive\Desktop\"/>
    </mc:Choice>
  </mc:AlternateContent>
  <xr:revisionPtr revIDLastSave="0" documentId="8_{1A8F5982-B72D-4EAC-B32C-1CDD3BC50C95}" xr6:coauthVersionLast="47" xr6:coauthVersionMax="47" xr10:uidLastSave="{00000000-0000-0000-0000-000000000000}"/>
  <bookViews>
    <workbookView xWindow="-110" yWindow="-110" windowWidth="19420" windowHeight="10300" firstSheet="5" activeTab="6" xr2:uid="{DA0B911F-690C-4871-92F4-EC63E498666A}"/>
  </bookViews>
  <sheets>
    <sheet name="Dashboard" sheetId="19" r:id="rId1"/>
    <sheet name="Pricing Calculator" sheetId="3" r:id="rId2"/>
    <sheet name="Outsource Network" sheetId="4" r:id="rId3"/>
    <sheet name="CampusAxis.pk" sheetId="6" r:id="rId4"/>
    <sheet name="AestheticsPlace.pk" sheetId="7" r:id="rId5"/>
    <sheet name="MegiCode Full Services" sheetId="13" r:id="rId6"/>
    <sheet name="MegiCode Complete Services" sheetId="18" r:id="rId7"/>
    <sheet name="Price Estimator" sheetId="26" r:id="rId8"/>
  </sheets>
  <definedNames>
    <definedName name="Final_Quote">#REF!</definedName>
    <definedName name="Monthly_Revenue_PKR">"'MegiCode Full Services'!$G$81"</definedName>
    <definedName name="Monthly_Revenue_USD">"'MegiCode Full Services'!$G$80"</definedName>
    <definedName name="PKR_Rate">#REF!</definedName>
    <definedName name="ServiceDB">'Price Estimator'!$F$6:$K$40</definedName>
    <definedName name="USD_PKR_Rate">"'MegiCode Full Services'!$I$3"</definedName>
    <definedName name="Your_Co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6" l="1"/>
  <c r="B3" i="26"/>
  <c r="A3" i="26"/>
  <c r="B8" i="26"/>
  <c r="C3" i="26"/>
  <c r="D8" i="26"/>
  <c r="A12" i="26"/>
  <c r="A11" i="26"/>
  <c r="C12" i="26"/>
  <c r="C11" i="26"/>
  <c r="B30" i="26"/>
  <c r="B29" i="26"/>
  <c r="B28" i="26"/>
  <c r="B27" i="26"/>
  <c r="C74" i="3"/>
  <c r="D74" i="3" s="1"/>
  <c r="D73" i="3"/>
  <c r="C73" i="3"/>
  <c r="C72" i="3"/>
  <c r="D72" i="3" s="1"/>
  <c r="C71" i="3"/>
  <c r="D71" i="3" s="1"/>
  <c r="C70" i="3"/>
  <c r="D70" i="3" s="1"/>
  <c r="D69" i="3"/>
  <c r="C69" i="3"/>
  <c r="D68" i="3"/>
  <c r="C68" i="3"/>
  <c r="C67" i="3"/>
  <c r="D67" i="3" s="1"/>
  <c r="C66" i="3"/>
  <c r="D66" i="3" s="1"/>
  <c r="C65" i="3"/>
  <c r="D65" i="3" s="1"/>
  <c r="K45" i="3"/>
  <c r="K56" i="3" s="1"/>
  <c r="K44" i="3"/>
  <c r="L44" i="3" s="1"/>
  <c r="J44" i="3"/>
  <c r="K43" i="3"/>
  <c r="L43" i="3" s="1"/>
  <c r="J43" i="3"/>
  <c r="K42" i="3"/>
  <c r="L42" i="3" s="1"/>
  <c r="J42" i="3"/>
  <c r="K41" i="3"/>
  <c r="L41" i="3" s="1"/>
  <c r="J41" i="3"/>
  <c r="K40" i="3"/>
  <c r="L40" i="3" s="1"/>
  <c r="J40" i="3"/>
  <c r="K35" i="3"/>
  <c r="L35" i="3" s="1"/>
  <c r="J35" i="3"/>
  <c r="K34" i="3"/>
  <c r="L34" i="3" s="1"/>
  <c r="J34" i="3"/>
  <c r="K33" i="3"/>
  <c r="L33" i="3" s="1"/>
  <c r="J33" i="3"/>
  <c r="K32" i="3"/>
  <c r="L32" i="3" s="1"/>
  <c r="J32" i="3"/>
  <c r="K31" i="3"/>
  <c r="L31" i="3" s="1"/>
  <c r="J31" i="3"/>
  <c r="K30" i="3"/>
  <c r="J30" i="3"/>
  <c r="K25" i="3"/>
  <c r="L25" i="3" s="1"/>
  <c r="J25" i="3"/>
  <c r="K24" i="3"/>
  <c r="L24" i="3" s="1"/>
  <c r="J24" i="3"/>
  <c r="K23" i="3"/>
  <c r="L23" i="3" s="1"/>
  <c r="J23" i="3"/>
  <c r="K22" i="3"/>
  <c r="J22" i="3"/>
  <c r="K21" i="3"/>
  <c r="L21" i="3" s="1"/>
  <c r="J21" i="3"/>
  <c r="K20" i="3"/>
  <c r="L20" i="3" s="1"/>
  <c r="J20" i="3"/>
  <c r="K15" i="3"/>
  <c r="L15" i="3" s="1"/>
  <c r="J15" i="3"/>
  <c r="L14" i="3"/>
  <c r="K14" i="3"/>
  <c r="J14" i="3"/>
  <c r="K13" i="3"/>
  <c r="L13" i="3" s="1"/>
  <c r="J13" i="3"/>
  <c r="L12" i="3"/>
  <c r="K12" i="3"/>
  <c r="J12" i="3"/>
  <c r="K11" i="3"/>
  <c r="L11" i="3" s="1"/>
  <c r="J11" i="3"/>
  <c r="K10" i="3"/>
  <c r="J10" i="3"/>
  <c r="D61" i="3"/>
  <c r="D60" i="3"/>
  <c r="D59" i="3"/>
  <c r="D58" i="3"/>
  <c r="E57" i="3"/>
  <c r="F57" i="3" s="1"/>
  <c r="D57" i="3"/>
  <c r="E56" i="3"/>
  <c r="F56" i="3" s="1"/>
  <c r="D56" i="3"/>
  <c r="E55" i="3"/>
  <c r="F55" i="3" s="1"/>
  <c r="D55" i="3"/>
  <c r="E54" i="3"/>
  <c r="F54" i="3" s="1"/>
  <c r="D54" i="3"/>
  <c r="E53" i="3"/>
  <c r="F53" i="3" s="1"/>
  <c r="D53" i="3"/>
  <c r="E52" i="3"/>
  <c r="F52" i="3" s="1"/>
  <c r="D52" i="3"/>
  <c r="E51" i="3"/>
  <c r="F51" i="3" s="1"/>
  <c r="D51" i="3"/>
  <c r="E50" i="3"/>
  <c r="D50" i="3"/>
  <c r="D46" i="3"/>
  <c r="D45" i="3"/>
  <c r="D44" i="3"/>
  <c r="D43" i="3"/>
  <c r="E42" i="3"/>
  <c r="F42" i="3" s="1"/>
  <c r="D42" i="3"/>
  <c r="E41" i="3"/>
  <c r="F41" i="3" s="1"/>
  <c r="D41" i="3"/>
  <c r="E40" i="3"/>
  <c r="F40" i="3" s="1"/>
  <c r="D40" i="3"/>
  <c r="F39" i="3"/>
  <c r="E39" i="3"/>
  <c r="D39" i="3"/>
  <c r="E38" i="3"/>
  <c r="F38" i="3" s="1"/>
  <c r="D38" i="3"/>
  <c r="E37" i="3"/>
  <c r="E43" i="3" s="1"/>
  <c r="D37" i="3"/>
  <c r="D33" i="3"/>
  <c r="D32" i="3"/>
  <c r="D31" i="3"/>
  <c r="D30" i="3"/>
  <c r="E29" i="3"/>
  <c r="F29" i="3" s="1"/>
  <c r="D29" i="3"/>
  <c r="F28" i="3"/>
  <c r="E28" i="3"/>
  <c r="D28" i="3"/>
  <c r="E27" i="3"/>
  <c r="F27" i="3" s="1"/>
  <c r="D27" i="3"/>
  <c r="E26" i="3"/>
  <c r="E30" i="3" s="1"/>
  <c r="E32" i="3" s="1"/>
  <c r="D26" i="3"/>
  <c r="E25" i="3"/>
  <c r="F25" i="3" s="1"/>
  <c r="D25" i="3"/>
  <c r="E24" i="3"/>
  <c r="F24" i="3" s="1"/>
  <c r="D24" i="3"/>
  <c r="D6" i="3"/>
  <c r="E16" i="3"/>
  <c r="F16" i="3" s="1"/>
  <c r="D16" i="3"/>
  <c r="E15" i="3"/>
  <c r="F15" i="3" s="1"/>
  <c r="D15" i="3"/>
  <c r="E14" i="3"/>
  <c r="F14" i="3" s="1"/>
  <c r="D14" i="3"/>
  <c r="E13" i="3"/>
  <c r="F13" i="3" s="1"/>
  <c r="D13" i="3"/>
  <c r="F12" i="3"/>
  <c r="E12" i="3"/>
  <c r="D12" i="3"/>
  <c r="E11" i="3"/>
  <c r="F11" i="3" s="1"/>
  <c r="D11" i="3"/>
  <c r="D10" i="3"/>
  <c r="E10" i="3" s="1"/>
  <c r="F10" i="3" s="1"/>
  <c r="G76" i="26"/>
  <c r="C8" i="26"/>
  <c r="G81" i="13"/>
  <c r="G80" i="13"/>
  <c r="G78" i="13"/>
  <c r="G77" i="13"/>
  <c r="G76" i="13"/>
  <c r="G75" i="13"/>
  <c r="F78" i="13"/>
  <c r="F77" i="13"/>
  <c r="F76" i="13"/>
  <c r="F75" i="13"/>
  <c r="G23" i="19"/>
  <c r="C23" i="19"/>
  <c r="E61" i="7"/>
  <c r="D61" i="7"/>
  <c r="C60" i="7"/>
  <c r="B60" i="7"/>
  <c r="E58" i="7"/>
  <c r="D58" i="7"/>
  <c r="C58" i="7"/>
  <c r="B58" i="7"/>
  <c r="E57" i="7"/>
  <c r="D57" i="7"/>
  <c r="C57" i="7"/>
  <c r="B57" i="7"/>
  <c r="H69" i="7"/>
  <c r="H68" i="7"/>
  <c r="H67" i="7"/>
  <c r="H66" i="7"/>
  <c r="H65" i="7"/>
  <c r="F70" i="7"/>
  <c r="F69" i="7"/>
  <c r="F68" i="7"/>
  <c r="F67" i="7"/>
  <c r="F66" i="7"/>
  <c r="F65" i="7"/>
  <c r="D70" i="7"/>
  <c r="D69" i="7"/>
  <c r="D68" i="7"/>
  <c r="D67" i="7"/>
  <c r="D66" i="7"/>
  <c r="D65" i="7"/>
  <c r="J53" i="7"/>
  <c r="J52" i="7"/>
  <c r="J51" i="7"/>
  <c r="J50" i="7"/>
  <c r="J49" i="7"/>
  <c r="J48" i="7"/>
  <c r="J47" i="7"/>
  <c r="E53" i="7"/>
  <c r="E51" i="7"/>
  <c r="E50" i="7"/>
  <c r="E49" i="7"/>
  <c r="E48" i="7"/>
  <c r="E47" i="7"/>
  <c r="D17" i="3" l="1"/>
  <c r="B31" i="26"/>
  <c r="F26" i="3"/>
  <c r="K16" i="3"/>
  <c r="K53" i="3" s="1"/>
  <c r="E58" i="3"/>
  <c r="E17" i="3"/>
  <c r="E19" i="3" s="1"/>
  <c r="F50" i="3"/>
  <c r="F37" i="3"/>
  <c r="F43" i="3" s="1"/>
  <c r="K26" i="3"/>
  <c r="K54" i="3" s="1"/>
  <c r="K36" i="3"/>
  <c r="K55" i="3" s="1"/>
  <c r="E45" i="3"/>
  <c r="E44" i="3"/>
  <c r="E46" i="3" s="1"/>
  <c r="K51" i="3" s="1"/>
  <c r="E59" i="3"/>
  <c r="E60" i="3"/>
  <c r="F58" i="3"/>
  <c r="F17" i="3"/>
  <c r="F30" i="3"/>
  <c r="L45" i="3"/>
  <c r="L56" i="3" s="1"/>
  <c r="L22" i="3"/>
  <c r="L26" i="3" s="1"/>
  <c r="L54" i="3" s="1"/>
  <c r="E31" i="3"/>
  <c r="E33" i="3" s="1"/>
  <c r="K50" i="3" s="1"/>
  <c r="L10" i="3"/>
  <c r="L16" i="3" s="1"/>
  <c r="L53" i="3" s="1"/>
  <c r="L30" i="3"/>
  <c r="L36" i="3" s="1"/>
  <c r="L55" i="3" s="1"/>
  <c r="D19" i="3" l="1"/>
  <c r="D18" i="3"/>
  <c r="D20" i="3"/>
  <c r="D3" i="26"/>
  <c r="C75" i="26"/>
  <c r="C76" i="26"/>
  <c r="C74" i="26"/>
  <c r="B34" i="26" a="1"/>
  <c r="B34" i="26" s="1"/>
  <c r="B33" i="26" a="1"/>
  <c r="B33" i="26" s="1"/>
  <c r="B59" i="26"/>
  <c r="F44" i="3"/>
  <c r="F46" i="3" s="1"/>
  <c r="L51" i="3" s="1"/>
  <c r="E18" i="3"/>
  <c r="E20" i="3" s="1"/>
  <c r="K49" i="3" s="1"/>
  <c r="K58" i="3" s="1"/>
  <c r="F45" i="3"/>
  <c r="E61" i="3"/>
  <c r="K52" i="3" s="1"/>
  <c r="F32" i="3"/>
  <c r="F31" i="3"/>
  <c r="F33" i="3" s="1"/>
  <c r="L50" i="3" s="1"/>
  <c r="F18" i="3"/>
  <c r="F19" i="3"/>
  <c r="F59" i="3"/>
  <c r="F60" i="3"/>
  <c r="B35" i="26" l="1"/>
  <c r="B36" i="26"/>
  <c r="B60" i="26"/>
  <c r="B61" i="26"/>
  <c r="F61" i="3"/>
  <c r="L52" i="3" s="1"/>
  <c r="F20" i="3"/>
  <c r="L49" i="3" s="1"/>
  <c r="L58" i="3"/>
  <c r="B37" i="26" l="1"/>
  <c r="B39" i="26" s="1"/>
  <c r="F3" i="26" s="1"/>
  <c r="B40" i="26" l="1"/>
  <c r="B48" i="26"/>
  <c r="G72" i="26" s="1"/>
  <c r="B47" i="26"/>
  <c r="G71" i="26" s="1"/>
  <c r="B45" i="26"/>
  <c r="B81" i="26" s="1"/>
  <c r="H69" i="26"/>
  <c r="H70" i="26"/>
  <c r="H72" i="26"/>
  <c r="H71" i="26"/>
  <c r="B46" i="26"/>
  <c r="G70" i="26" s="1"/>
  <c r="C47" i="26" l="1"/>
  <c r="D47" i="26"/>
  <c r="B83" i="26"/>
  <c r="C83" i="26" s="1"/>
  <c r="C45" i="26"/>
  <c r="I71" i="26"/>
  <c r="J71" i="26" s="1"/>
  <c r="D45" i="26"/>
  <c r="I72" i="26"/>
  <c r="J72" i="26" s="1"/>
  <c r="I70" i="26"/>
  <c r="J70" i="26" s="1"/>
  <c r="D48" i="26"/>
  <c r="C48" i="26"/>
  <c r="G69" i="26"/>
  <c r="I69" i="26" s="1"/>
  <c r="J69" i="26" s="1"/>
  <c r="B54" i="26"/>
  <c r="B82" i="26" s="1"/>
  <c r="C82" i="26" s="1"/>
  <c r="C46" i="26"/>
  <c r="D46" i="26"/>
  <c r="C81" i="26"/>
  <c r="B85" i="26" l="1"/>
  <c r="D75" i="26"/>
  <c r="D76" i="26"/>
  <c r="C54" i="26"/>
  <c r="C77" i="26"/>
  <c r="H3" i="26"/>
  <c r="C66" i="26"/>
  <c r="D66" i="26" s="1"/>
  <c r="D74" i="26"/>
  <c r="C68" i="26"/>
  <c r="D68" i="26" s="1"/>
  <c r="B55" i="26"/>
  <c r="C55" i="26" s="1"/>
  <c r="C67" i="26"/>
  <c r="D67" i="26" s="1"/>
  <c r="C69" i="26" l="1"/>
  <c r="D69" i="2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<sst xmlns="http://schemas.openxmlformats.org/spreadsheetml/2006/main" count="3169" uniqueCount="2166">
  <si>
    <t>Timeline</t>
  </si>
  <si>
    <t>High</t>
  </si>
  <si>
    <t>#</t>
  </si>
  <si>
    <t>Priority</t>
  </si>
  <si>
    <t>Metric</t>
  </si>
  <si>
    <t>Value</t>
  </si>
  <si>
    <t>Notes</t>
  </si>
  <si>
    <t>Description</t>
  </si>
  <si>
    <t>When to Use</t>
  </si>
  <si>
    <t>Best For</t>
  </si>
  <si>
    <t>Scale</t>
  </si>
  <si>
    <t>Enterprise</t>
  </si>
  <si>
    <t>Retainer</t>
  </si>
  <si>
    <t>Medium</t>
  </si>
  <si>
    <t>Partner Type</t>
  </si>
  <si>
    <t>Skills</t>
  </si>
  <si>
    <t>Rate Range</t>
  </si>
  <si>
    <t>Status</t>
  </si>
  <si>
    <t>Offshore Dev Team</t>
  </si>
  <si>
    <t>Action Item</t>
  </si>
  <si>
    <t>Owner</t>
  </si>
  <si>
    <t>Deadline</t>
  </si>
  <si>
    <t>Scenario</t>
  </si>
  <si>
    <t>Total Monthly</t>
  </si>
  <si>
    <t>Margin %</t>
  </si>
  <si>
    <t>HIGH</t>
  </si>
  <si>
    <t>MEDIUM</t>
  </si>
  <si>
    <t>Premium</t>
  </si>
  <si>
    <t>Project Manager</t>
  </si>
  <si>
    <t>DevOps Engineer</t>
  </si>
  <si>
    <t>Project Type</t>
  </si>
  <si>
    <t>Business Automation</t>
  </si>
  <si>
    <t>Technical Consulting</t>
  </si>
  <si>
    <t>LOW</t>
  </si>
  <si>
    <t>Name</t>
  </si>
  <si>
    <t>Contact</t>
  </si>
  <si>
    <t>ACTIVE</t>
  </si>
  <si>
    <t>AVAILABLE</t>
  </si>
  <si>
    <t>TO CONTACT</t>
  </si>
  <si>
    <t>TO ONBOARD</t>
  </si>
  <si>
    <t>Location</t>
  </si>
  <si>
    <t>Specialization</t>
  </si>
  <si>
    <t>Capacity</t>
  </si>
  <si>
    <t>Quality</t>
  </si>
  <si>
    <t>React, Node, Mobile</t>
  </si>
  <si>
    <t>Tested</t>
  </si>
  <si>
    <t>Eastern Europe</t>
  </si>
  <si>
    <t>SaaS, Enterprise</t>
  </si>
  <si>
    <t>Full team</t>
  </si>
  <si>
    <t>Various</t>
  </si>
  <si>
    <t>On-demand</t>
  </si>
  <si>
    <t>Variable</t>
  </si>
  <si>
    <t>USE AS NEEDED</t>
  </si>
  <si>
    <t>Specialty</t>
  </si>
  <si>
    <t>Availability</t>
  </si>
  <si>
    <t>Part-time</t>
  </si>
  <si>
    <t>Documentation, API Docs</t>
  </si>
  <si>
    <t>As needed</t>
  </si>
  <si>
    <t>AS NEEDED</t>
  </si>
  <si>
    <t>TO FIND</t>
  </si>
  <si>
    <t>Resource Type</t>
  </si>
  <si>
    <t>Margin/hr</t>
  </si>
  <si>
    <t>Best Use Case</t>
  </si>
  <si>
    <t>Class Fellow (Dev)</t>
  </si>
  <si>
    <t>Freelance Designer</t>
  </si>
  <si>
    <t>QA Tester</t>
  </si>
  <si>
    <t>MVP builds, custom dev</t>
  </si>
  <si>
    <t>UI/UX projects</t>
  </si>
  <si>
    <t>Pre-launch QA</t>
  </si>
  <si>
    <t>AI features only</t>
  </si>
  <si>
    <t>Impact</t>
  </si>
  <si>
    <t>Lead generation</t>
  </si>
  <si>
    <t>Service</t>
  </si>
  <si>
    <t>Category</t>
  </si>
  <si>
    <t>Custom Features:</t>
  </si>
  <si>
    <t>API Integrations:</t>
  </si>
  <si>
    <t>Admin Dashboard:</t>
  </si>
  <si>
    <t>Mobile Responsive:</t>
  </si>
  <si>
    <t>AI/ML Integration</t>
  </si>
  <si>
    <t>Feature</t>
  </si>
  <si>
    <t>Hours</t>
  </si>
  <si>
    <t>Analytics Dashboard</t>
  </si>
  <si>
    <t>Package</t>
  </si>
  <si>
    <t>Features</t>
  </si>
  <si>
    <t>STARTER</t>
  </si>
  <si>
    <t>GROWTH</t>
  </si>
  <si>
    <t>PROFESSIONAL</t>
  </si>
  <si>
    <t>ENTERPRISE</t>
  </si>
  <si>
    <t>Plan</t>
  </si>
  <si>
    <t>Monthly $</t>
  </si>
  <si>
    <t>Includes</t>
  </si>
  <si>
    <t>Region</t>
  </si>
  <si>
    <t>Product Pages:</t>
  </si>
  <si>
    <t>API Endpoints:</t>
  </si>
  <si>
    <t>Budget</t>
  </si>
  <si>
    <t>Fast</t>
  </si>
  <si>
    <t>MEGICODE OUTSOURCE &amp; PARTNERSHIP NETWORK</t>
  </si>
  <si>
    <t>1. DEVELOPERS (Class Fellows &amp; Network)</t>
  </si>
  <si>
    <t>Role</t>
  </si>
  <si>
    <t>Tech Stack</t>
  </si>
  <si>
    <t>$/hr</t>
  </si>
  <si>
    <t>Projects</t>
  </si>
  <si>
    <t>Full-Stack Dev</t>
  </si>
  <si>
    <t>COMSATS classmate</t>
  </si>
  <si>
    <t>Full-time</t>
  </si>
  <si>
    <t>Reliable</t>
  </si>
  <si>
    <t>Fast delivery</t>
  </si>
  <si>
    <t>Mobile Dev</t>
  </si>
  <si>
    <t>Project-based</t>
  </si>
  <si>
    <t>Budget option</t>
  </si>
  <si>
    <t>2. UI/UX DESIGNERS &amp; CREATIVES</t>
  </si>
  <si>
    <t>Tools</t>
  </si>
  <si>
    <t>Turnaround</t>
  </si>
  <si>
    <t>Portfolio</t>
  </si>
  <si>
    <t>UI/UX Designer</t>
  </si>
  <si>
    <t>Figma, Adobe XD, Sketch</t>
  </si>
  <si>
    <t>Brand Designer</t>
  </si>
  <si>
    <t>Illustrator, Photoshop</t>
  </si>
  <si>
    <t>Motion Graphics</t>
  </si>
  <si>
    <t>After Effects, Premiere</t>
  </si>
  <si>
    <t>3. QA TESTERS &amp; SPECIALISTS</t>
  </si>
  <si>
    <t>Certs</t>
  </si>
  <si>
    <t>Manual + Automation, Selenium</t>
  </si>
  <si>
    <t>CONTRACT</t>
  </si>
  <si>
    <t>Budget-friendly</t>
  </si>
  <si>
    <t>AI/ML Specialist</t>
  </si>
  <si>
    <t>TensorFlow, PyTorch, Python</t>
  </si>
  <si>
    <t>FIND</t>
  </si>
  <si>
    <t>High priority</t>
  </si>
  <si>
    <t>AWS, Docker, Kubernetes</t>
  </si>
  <si>
    <t>Tech Writer</t>
  </si>
  <si>
    <t>4. OFFSHORE DEV AGENCIES / TEAMS</t>
  </si>
  <si>
    <t>Company</t>
  </si>
  <si>
    <t>$/hr Range</t>
  </si>
  <si>
    <t>Team Size</t>
  </si>
  <si>
    <t>Website</t>
  </si>
  <si>
    <t>Pakistan</t>
  </si>
  <si>
    <t>15-25</t>
  </si>
  <si>
    <t>3-5 devs</t>
  </si>
  <si>
    <t>VET</t>
  </si>
  <si>
    <t>Local rates</t>
  </si>
  <si>
    <t>25-40</t>
  </si>
  <si>
    <t>Higher quality</t>
  </si>
  <si>
    <t>Upwork Team</t>
  </si>
  <si>
    <t>Overflow, Maintenance</t>
  </si>
  <si>
    <t>upwork.com</t>
  </si>
  <si>
    <t>Backup option</t>
  </si>
  <si>
    <t>Their Rate</t>
  </si>
  <si>
    <t>We Charge</t>
  </si>
  <si>
    <t>Hours/Project</t>
  </si>
  <si>
    <t>Large projects</t>
  </si>
  <si>
    <t>Infrastructure</t>
  </si>
  <si>
    <t>AVERAGE MARGIN:</t>
  </si>
  <si>
    <t>6. NETWORK BY ATTACHMENT TYPE (Company vs Freelance)</t>
  </si>
  <si>
    <t>Profession</t>
  </si>
  <si>
    <t>Attachment</t>
  </si>
  <si>
    <t>Company/Name</t>
  </si>
  <si>
    <t>Payment Terms</t>
  </si>
  <si>
    <t>Contract Type</t>
  </si>
  <si>
    <t>Action</t>
  </si>
  <si>
    <t>Company Attached</t>
  </si>
  <si>
    <t>$20-30/hr</t>
  </si>
  <si>
    <t>Core projects</t>
  </si>
  <si>
    <t>Monthly</t>
  </si>
  <si>
    <t>HIRE</t>
  </si>
  <si>
    <t>Freelance Attached</t>
  </si>
  <si>
    <t>$25-40/hr</t>
  </si>
  <si>
    <t>Design projects</t>
  </si>
  <si>
    <t>Per project</t>
  </si>
  <si>
    <t>Contract</t>
  </si>
  <si>
    <t>ONBOARD</t>
  </si>
  <si>
    <t>Outsource Partner</t>
  </si>
  <si>
    <t>$25-35/hr</t>
  </si>
  <si>
    <t>Mobile apps</t>
  </si>
  <si>
    <t>Milestone</t>
  </si>
  <si>
    <t>Project</t>
  </si>
  <si>
    <t>Freelance Pool</t>
  </si>
  <si>
    <t>$12-20/hr</t>
  </si>
  <si>
    <t>Testing phase</t>
  </si>
  <si>
    <t>READY</t>
  </si>
  <si>
    <t>DevOps</t>
  </si>
  <si>
    <t>$35-50/hr</t>
  </si>
  <si>
    <t>AI/ML Expert</t>
  </si>
  <si>
    <t>Specialist Pool</t>
  </si>
  <si>
    <t>$45-70/hr</t>
  </si>
  <si>
    <t>AI features</t>
  </si>
  <si>
    <t>$18-25/hr</t>
  </si>
  <si>
    <t>Documentation</t>
  </si>
  <si>
    <t>Per deliverable</t>
  </si>
  <si>
    <t>CONSIDER</t>
  </si>
  <si>
    <t>7. OUTSOURCING STRATEGY INSIGHTS</t>
  </si>
  <si>
    <t>Product Name:</t>
  </si>
  <si>
    <t>CampusAxis.pk</t>
  </si>
  <si>
    <t>Website:</t>
  </si>
  <si>
    <t>campusaxis.pk</t>
  </si>
  <si>
    <t>Status:</t>
  </si>
  <si>
    <t>LIVE</t>
  </si>
  <si>
    <t>Product Type:</t>
  </si>
  <si>
    <t>Founded:</t>
  </si>
  <si>
    <t>Universities</t>
  </si>
  <si>
    <t>Students</t>
  </si>
  <si>
    <t>Monthly PKR</t>
  </si>
  <si>
    <t>Annual PKR</t>
  </si>
  <si>
    <t>Coaching Centers</t>
  </si>
  <si>
    <t>Ad Type</t>
  </si>
  <si>
    <t>Placement</t>
  </si>
  <si>
    <t>Duration</t>
  </si>
  <si>
    <t>CPM</t>
  </si>
  <si>
    <t>Per Post</t>
  </si>
  <si>
    <t>Per Event</t>
  </si>
  <si>
    <t>Annual</t>
  </si>
  <si>
    <t>YES</t>
  </si>
  <si>
    <t>6 Months</t>
  </si>
  <si>
    <t>Quarterly</t>
  </si>
  <si>
    <t>NO</t>
  </si>
  <si>
    <t>SUBSCRIPTION CLIENTS</t>
  </si>
  <si>
    <t>Count</t>
  </si>
  <si>
    <t>Sponsored Posts:</t>
  </si>
  <si>
    <t>TOTAL SUBSCRIPTION:</t>
  </si>
  <si>
    <t>Attribute</t>
  </si>
  <si>
    <t>Details</t>
  </si>
  <si>
    <t>Target Market:</t>
  </si>
  <si>
    <t>Module</t>
  </si>
  <si>
    <t>Features Included</t>
  </si>
  <si>
    <t>Target User</t>
  </si>
  <si>
    <t>Problem Solved</t>
  </si>
  <si>
    <t>Dev Cost</t>
  </si>
  <si>
    <t>Base</t>
  </si>
  <si>
    <t>Best Advertisers</t>
  </si>
  <si>
    <t>Est. Monthly</t>
  </si>
  <si>
    <t>PLATINUM</t>
  </si>
  <si>
    <t>GOLD</t>
  </si>
  <si>
    <t>SILVER</t>
  </si>
  <si>
    <t>BRONZE</t>
  </si>
  <si>
    <t>Ad Revenue</t>
  </si>
  <si>
    <t>G. GROWTH PROJECTIONS (Formula-Based)</t>
  </si>
  <si>
    <t>Clients</t>
  </si>
  <si>
    <t>Sponsors/Mo</t>
  </si>
  <si>
    <t>Net Profit</t>
  </si>
  <si>
    <t>Year 2 (Growth)</t>
  </si>
  <si>
    <t>Year 3 (Established)</t>
  </si>
  <si>
    <t>Current</t>
  </si>
  <si>
    <t>Target Y1</t>
  </si>
  <si>
    <t>Mujtaba</t>
  </si>
  <si>
    <t>Week 1</t>
  </si>
  <si>
    <t>TO DO</t>
  </si>
  <si>
    <t>Week 2</t>
  </si>
  <si>
    <t>Month 1</t>
  </si>
  <si>
    <t>Dev Team</t>
  </si>
  <si>
    <t>Month 2</t>
  </si>
  <si>
    <t>Marketing</t>
  </si>
  <si>
    <t>Month 3</t>
  </si>
  <si>
    <t>A. PRODUCT OVERVIEW &amp; SAAS TRANSFORMATION</t>
  </si>
  <si>
    <t>Current State</t>
  </si>
  <si>
    <t>SAAS UPGRADE</t>
  </si>
  <si>
    <t>New Feature</t>
  </si>
  <si>
    <t>MARKET OPPORTUNITY</t>
  </si>
  <si>
    <t>AestheticsPlace.pk</t>
  </si>
  <si>
    <t>✓ Multi-Clinic Support</t>
  </si>
  <si>
    <t>Franchise/Chain ready</t>
  </si>
  <si>
    <t>Pakistan Clinics:</t>
  </si>
  <si>
    <t>15,000+</t>
  </si>
  <si>
    <t>aestheticsplace.pk</t>
  </si>
  <si>
    <t>✓ Cloud-Based</t>
  </si>
  <si>
    <t>Access anywhere</t>
  </si>
  <si>
    <t>Aesthetic Clinics:</t>
  </si>
  <si>
    <t>3,000+</t>
  </si>
  <si>
    <t>Current Model:</t>
  </si>
  <si>
    <t>Single Clinic Tool</t>
  </si>
  <si>
    <t>✓ Subscription Billing</t>
  </si>
  <si>
    <t>Monthly recurring</t>
  </si>
  <si>
    <t>Dermatology:</t>
  </si>
  <si>
    <t>2,500+</t>
  </si>
  <si>
    <t>Aesthetic Clinics</t>
  </si>
  <si>
    <t>✓ White-Label Option</t>
  </si>
  <si>
    <t>Clinics can brand it</t>
  </si>
  <si>
    <t>Growing at:</t>
  </si>
  <si>
    <t>30% YoY</t>
  </si>
  <si>
    <t>UPGRADING TO SAAS</t>
  </si>
  <si>
    <t>✓ API Integrations</t>
  </si>
  <si>
    <t>Lab, Pharmacy, Payment</t>
  </si>
  <si>
    <t>Avg Spend/Clinic:</t>
  </si>
  <si>
    <t>PKR 50K/mo</t>
  </si>
  <si>
    <t>B. SAAS PLATFORM MODULES (Aesthetic-Specific Features)</t>
  </si>
  <si>
    <t>Add-on Price</t>
  </si>
  <si>
    <t>Patient Management</t>
  </si>
  <si>
    <t>Profiles, history, allergies, consent forms</t>
  </si>
  <si>
    <t>Receptionist, Doctor</t>
  </si>
  <si>
    <t>Scattered patient data</t>
  </si>
  <si>
    <t>Appointment Booking</t>
  </si>
  <si>
    <t>Online booking, calendar, reminders, wait-list</t>
  </si>
  <si>
    <t>Patients, Staff</t>
  </si>
  <si>
    <t>No-shows, overbooking</t>
  </si>
  <si>
    <t>Before/After Photos</t>
  </si>
  <si>
    <t>Secure storage, comparison, progress tracking</t>
  </si>
  <si>
    <t>Doctor, Patients</t>
  </si>
  <si>
    <t>No visual documentation</t>
  </si>
  <si>
    <t>Treatment Planning</t>
  </si>
  <si>
    <t>Packages, multi-session tracking, protocols</t>
  </si>
  <si>
    <t>Doctor</t>
  </si>
  <si>
    <t>Complex treatment tracking</t>
  </si>
  <si>
    <t>Inventory Management</t>
  </si>
  <si>
    <t>Products, consumables, expiry alerts, reorder</t>
  </si>
  <si>
    <t>Clinic Manager</t>
  </si>
  <si>
    <t>Stock-outs, wastage</t>
  </si>
  <si>
    <t>Billing &amp; Invoicing</t>
  </si>
  <si>
    <t>GST invoices, payment plans, receipts</t>
  </si>
  <si>
    <t>Accounts</t>
  </si>
  <si>
    <t>Manual billing errors</t>
  </si>
  <si>
    <t>Prescription Module</t>
  </si>
  <si>
    <t>Digital Rx, templates, pharmacy integration</t>
  </si>
  <si>
    <t>Handwriting errors</t>
  </si>
  <si>
    <t>Revenue, patient trends, treatment popularity</t>
  </si>
  <si>
    <t>Owner, Manager</t>
  </si>
  <si>
    <t>No business insights</t>
  </si>
  <si>
    <t>Marketing Automation</t>
  </si>
  <si>
    <t>SMS/Email campaigns, follow-ups, birthdays</t>
  </si>
  <si>
    <t>Manual outreach</t>
  </si>
  <si>
    <t>Practitioners</t>
  </si>
  <si>
    <t>Patient Mgmt + Booking + Billing</t>
  </si>
  <si>
    <t>Solo Practitioners</t>
  </si>
  <si>
    <t>Small Clinics</t>
  </si>
  <si>
    <t>Medium Clinics</t>
  </si>
  <si>
    <t>Clinic Chains</t>
  </si>
  <si>
    <t>FRANCHISE</t>
  </si>
  <si>
    <t>Franchise Networks</t>
  </si>
  <si>
    <t>Service/Treatment</t>
  </si>
  <si>
    <t>Volume/Mo</t>
  </si>
  <si>
    <t>Popular?</t>
  </si>
  <si>
    <t>Botox Treatment Record</t>
  </si>
  <si>
    <t>Injectable</t>
  </si>
  <si>
    <t>Filler Treatment Record</t>
  </si>
  <si>
    <t>Laser Session Record</t>
  </si>
  <si>
    <t>Laser</t>
  </si>
  <si>
    <t>Chemical Peel Record</t>
  </si>
  <si>
    <t>Skin</t>
  </si>
  <si>
    <t>Consultation Record</t>
  </si>
  <si>
    <t>General</t>
  </si>
  <si>
    <t>Photos</t>
  </si>
  <si>
    <t>N/A</t>
  </si>
  <si>
    <t>Follow-up SMS/Email</t>
  </si>
  <si>
    <t>Lab Report Integration</t>
  </si>
  <si>
    <t>Labs</t>
  </si>
  <si>
    <t>PER-USE REVENUE</t>
  </si>
  <si>
    <t>Treatments/Mo</t>
  </si>
  <si>
    <t>Starter Clinics:</t>
  </si>
  <si>
    <t>Botox Records:</t>
  </si>
  <si>
    <t>Growth Clinics:</t>
  </si>
  <si>
    <t>Filler Records:</t>
  </si>
  <si>
    <t>Professional Clinics:</t>
  </si>
  <si>
    <t>Laser Records:</t>
  </si>
  <si>
    <t>Enterprise Clinics:</t>
  </si>
  <si>
    <t>Consultations:</t>
  </si>
  <si>
    <t>Franchise Clients:</t>
  </si>
  <si>
    <t>Photo Sessions:</t>
  </si>
  <si>
    <t>SMS/Emails:</t>
  </si>
  <si>
    <t>TOTAL PER-USE:</t>
  </si>
  <si>
    <t>Revenue Stream</t>
  </si>
  <si>
    <t>Subscription Revenue:</t>
  </si>
  <si>
    <t>Per-Use Revenue:</t>
  </si>
  <si>
    <t>F. MARKET COMPETITIVE ANALYSIS (Global Aesthetic Software Pricing)</t>
  </si>
  <si>
    <t>Competitor</t>
  </si>
  <si>
    <t>Savings %</t>
  </si>
  <si>
    <t>Our Advantage</t>
  </si>
  <si>
    <t>Aesthetic Nurse Software</t>
  </si>
  <si>
    <t>UK</t>
  </si>
  <si>
    <t>Local support, Urdu</t>
  </si>
  <si>
    <t>Cliniceo</t>
  </si>
  <si>
    <t>India</t>
  </si>
  <si>
    <t>Pakistan-focused</t>
  </si>
  <si>
    <t>Pabau</t>
  </si>
  <si>
    <t>UK/US</t>
  </si>
  <si>
    <t>No $, PKR billing</t>
  </si>
  <si>
    <t>SimplePractice</t>
  </si>
  <si>
    <t>US</t>
  </si>
  <si>
    <t>Aesthetic-specific</t>
  </si>
  <si>
    <t>Generic CRM (Zoho)</t>
  </si>
  <si>
    <t>Global</t>
  </si>
  <si>
    <t>Built for clinics</t>
  </si>
  <si>
    <t>Manual/Excel</t>
  </si>
  <si>
    <t>Local</t>
  </si>
  <si>
    <t>Full automation</t>
  </si>
  <si>
    <t>Year 1 (Launch)</t>
  </si>
  <si>
    <t>Year 5 (Market Leader)</t>
  </si>
  <si>
    <t>H. TARGET CUSTOMER SEGMENTS &amp; SALES APPROACH</t>
  </si>
  <si>
    <t>2-3 weeks</t>
  </si>
  <si>
    <t>1 month</t>
  </si>
  <si>
    <t>2-3 months</t>
  </si>
  <si>
    <t>3-6 months</t>
  </si>
  <si>
    <t>Spa/Wellness Center</t>
  </si>
  <si>
    <t>Mixed services</t>
  </si>
  <si>
    <t>5000-12000</t>
  </si>
  <si>
    <t>Spa Manager</t>
  </si>
  <si>
    <t>Service tracking</t>
  </si>
  <si>
    <t>Feature demo</t>
  </si>
  <si>
    <t>2-4 weeks</t>
  </si>
  <si>
    <t>I. SAAS DEVELOPMENT ROADMAP</t>
  </si>
  <si>
    <t>Phase</t>
  </si>
  <si>
    <t>Dev Cost PKR</t>
  </si>
  <si>
    <t>Revenue Impact</t>
  </si>
  <si>
    <t>Phase 1 (MVP)</t>
  </si>
  <si>
    <t>Month 1-2</t>
  </si>
  <si>
    <t>CRITICAL</t>
  </si>
  <si>
    <t>Launch subscriptions</t>
  </si>
  <si>
    <t>Phase 2 (Core)</t>
  </si>
  <si>
    <t>Before/After + Treatment Plans + Inventory</t>
  </si>
  <si>
    <t>Month 3-4</t>
  </si>
  <si>
    <t>Upsell features</t>
  </si>
  <si>
    <t>Phase 3 (Analytics)</t>
  </si>
  <si>
    <t>Dashboard + Reports + Marketing</t>
  </si>
  <si>
    <t>Month 5-6</t>
  </si>
  <si>
    <t>Premium tier</t>
  </si>
  <si>
    <t>Phase 4 (Scale)</t>
  </si>
  <si>
    <t>Multi-clinic + API + White-label</t>
  </si>
  <si>
    <t>Month 7-9</t>
  </si>
  <si>
    <t>Enterprise clients</t>
  </si>
  <si>
    <t>Phase 5 (Mobile)</t>
  </si>
  <si>
    <t>iOS + Android Apps</t>
  </si>
  <si>
    <t>Month 10-12</t>
  </si>
  <si>
    <t>Patient engagement</t>
  </si>
  <si>
    <t>TOTAL INVESTMENT:</t>
  </si>
  <si>
    <t>J. STRATEGIC ACTION ITEMS</t>
  </si>
  <si>
    <t>Complete MVP development (Phase 1)</t>
  </si>
  <si>
    <t>IN PROGRESS</t>
  </si>
  <si>
    <t>Launch ready</t>
  </si>
  <si>
    <t>Sign 5 beta clinics for free trial</t>
  </si>
  <si>
    <t>Early feedback</t>
  </si>
  <si>
    <t>Create demo video &amp; marketing site</t>
  </si>
  <si>
    <t>Partner with dermatology association</t>
  </si>
  <si>
    <t>Credibility</t>
  </si>
  <si>
    <t>Integrate Easypaisa/JazzCash payments</t>
  </si>
  <si>
    <t>Pakistani market</t>
  </si>
  <si>
    <t>Build referral program for clinics</t>
  </si>
  <si>
    <t>Sales</t>
  </si>
  <si>
    <t>Month 4</t>
  </si>
  <si>
    <t>Organic growth</t>
  </si>
  <si>
    <t>Launch before/after photo feature</t>
  </si>
  <si>
    <t>Key differentiator</t>
  </si>
  <si>
    <t>K. KEY STRATEGIC INSIGHTS</t>
  </si>
  <si>
    <t>1. UNIQUE VALUE: Before/After photo management is THE killer feature - no local competitor has it well</t>
  </si>
  <si>
    <t>2. PRICING STRATEGY: Start low (PKR 3K) to capture market, upsell to higher tiers with add-ons</t>
  </si>
  <si>
    <t>3. PER-USE MODEL: Add per-treatment fees for high-volume clinics = scales with their success</t>
  </si>
  <si>
    <t>4. LOCAL ADVANTAGE: Urdu support, PKR billing, JazzCash = beats foreign competitors</t>
  </si>
  <si>
    <t>5. VERTICAL FOCUS: Stay aesthetic/dermatology ONLY - don't become generic CRM</t>
  </si>
  <si>
    <t>6. NETWORK EFFECT: More clinics = more data = better benchmarks = more value</t>
  </si>
  <si>
    <t>7. PARTNERSHIP: Work with aesthetic product distributors for co-marketing</t>
  </si>
  <si>
    <t>A. REAL PRODUCT OVERVIEW (Live Data from CampusAxis.pk)</t>
  </si>
  <si>
    <t>Current Status</t>
  </si>
  <si>
    <t>KEY METRICS</t>
  </si>
  <si>
    <t>ADVANTAGES</t>
  </si>
  <si>
    <t>Past Papers:</t>
  </si>
  <si>
    <t>50,000+</t>
  </si>
  <si>
    <t>✓ 100% FREE</t>
  </si>
  <si>
    <t>No subscription required</t>
  </si>
  <si>
    <t>Study Resources:</t>
  </si>
  <si>
    <t>8,500+</t>
  </si>
  <si>
    <t>✓ University-Specific</t>
  </si>
  <si>
    <t>COMSATS focused initially</t>
  </si>
  <si>
    <t>B2C Student Platform</t>
  </si>
  <si>
    <t>Faculty Reviewed:</t>
  </si>
  <si>
    <t>450+</t>
  </si>
  <si>
    <t>✓ Verified Content</t>
  </si>
  <si>
    <t>Student-contributed papers</t>
  </si>
  <si>
    <t>Pakistani University Students</t>
  </si>
  <si>
    <t>Active Students:</t>
  </si>
  <si>
    <t>12,000+</t>
  </si>
  <si>
    <t>✓ GPA Accuracy</t>
  </si>
  <si>
    <t>Matches official transcripts</t>
  </si>
  <si>
    <t>Business Model:</t>
  </si>
  <si>
    <t>FREE + Ads + Premium</t>
  </si>
  <si>
    <t>Universities:</t>
  </si>
  <si>
    <t>7 COMSATS + 19 planned</t>
  </si>
  <si>
    <t>✓ Community-Driven</t>
  </si>
  <si>
    <t>Student contributions</t>
  </si>
  <si>
    <t>LIVE &amp; GROWING</t>
  </si>
  <si>
    <t>Departments:</t>
  </si>
  <si>
    <t>50+</t>
  </si>
  <si>
    <t>✓ Mobile-Friendly</t>
  </si>
  <si>
    <t>Works on all devices</t>
  </si>
  <si>
    <t>Campuses:</t>
  </si>
  <si>
    <t>Isl, Lhr, Wah, Att, Abb, Sah, Veh</t>
  </si>
  <si>
    <t>✓ Anonymous Reviews</t>
  </si>
  <si>
    <t>Safe faculty feedback</t>
  </si>
  <si>
    <t>B. REAL CORE FEATURES (As Listed on CampusAxis.pk Website)</t>
  </si>
  <si>
    <t>User Type</t>
  </si>
  <si>
    <t>Monetization</t>
  </si>
  <si>
    <t>Unique?</t>
  </si>
  <si>
    <t>Traffic</t>
  </si>
  <si>
    <t>Past Papers Archive</t>
  </si>
  <si>
    <t>50,000+ midterm/final papers, searchable</t>
  </si>
  <si>
    <t>No centralized paper source</t>
  </si>
  <si>
    <t>Ads + Premium</t>
  </si>
  <si>
    <t>GPA Calculator</t>
  </si>
  <si>
    <t>Semester &amp; CGPA matching COMSATS system</t>
  </si>
  <si>
    <t>Inaccurate online calcs</t>
  </si>
  <si>
    <t>Free (engage)</t>
  </si>
  <si>
    <t>Faculty Reviews</t>
  </si>
  <si>
    <t>Anonymous ratings &amp; reviews of professors</t>
  </si>
  <si>
    <t>No way to choose teachers</t>
  </si>
  <si>
    <t>Merit Calculator</t>
  </si>
  <si>
    <t>Predict admission merit for programs</t>
  </si>
  <si>
    <t>Prospective</t>
  </si>
  <si>
    <t>Merit uncertainty</t>
  </si>
  <si>
    <t>Ads</t>
  </si>
  <si>
    <t>BETA</t>
  </si>
  <si>
    <t>Community Hub</t>
  </si>
  <si>
    <t>Student discussions, Q&amp;A, networking</t>
  </si>
  <si>
    <t>Isolated learning</t>
  </si>
  <si>
    <t>PARTIAL</t>
  </si>
  <si>
    <t>Study Resources</t>
  </si>
  <si>
    <t>8,500+ notes, materials, guides</t>
  </si>
  <si>
    <t>Scattered resources</t>
  </si>
  <si>
    <t>Timetable Manager</t>
  </si>
  <si>
    <t>Class schedule organization</t>
  </si>
  <si>
    <t>Manual scheduling</t>
  </si>
  <si>
    <t>Free</t>
  </si>
  <si>
    <t>Events &amp; News</t>
  </si>
  <si>
    <t>Campus announcements, deadlines</t>
  </si>
  <si>
    <t>Missing important dates</t>
  </si>
  <si>
    <t>Sponsored</t>
  </si>
  <si>
    <t>Lost &amp; Found</t>
  </si>
  <si>
    <t>Campus item recovery board</t>
  </si>
  <si>
    <t>No centralized lost items</t>
  </si>
  <si>
    <t>Sharing Hub</t>
  </si>
  <si>
    <t>Resource sharing between students</t>
  </si>
  <si>
    <t>No easy file sharing</t>
  </si>
  <si>
    <t>TOTAL DEVELOPMENT INVESTMENT:</t>
  </si>
  <si>
    <t>Rate Type</t>
  </si>
  <si>
    <t>Google AdSense</t>
  </si>
  <si>
    <t>Banner + Sidebar + In-content</t>
  </si>
  <si>
    <t>Auto (Google)</t>
  </si>
  <si>
    <t>Direct Banner Ads</t>
  </si>
  <si>
    <t>Homepage + Past Papers page</t>
  </si>
  <si>
    <t>EdTech, Universities</t>
  </si>
  <si>
    <t>TO BUILD</t>
  </si>
  <si>
    <t>Sponsored Content</t>
  </si>
  <si>
    <t>Blog posts, resource highlights</t>
  </si>
  <si>
    <t>Courses, Tools</t>
  </si>
  <si>
    <t>University Ads</t>
  </si>
  <si>
    <t>Admission promotions</t>
  </si>
  <si>
    <t>Per Month</t>
  </si>
  <si>
    <t>Private Unis</t>
  </si>
  <si>
    <t>TO PURSUE</t>
  </si>
  <si>
    <t>EdTech Partner Ads</t>
  </si>
  <si>
    <t>Course/tutorial promotions</t>
  </si>
  <si>
    <t>Coursera, Udemy</t>
  </si>
  <si>
    <t>Job Board Listings</t>
  </si>
  <si>
    <t>Internship/job posts</t>
  </si>
  <si>
    <t>Per Listing</t>
  </si>
  <si>
    <t>Companies, Recruiters</t>
  </si>
  <si>
    <t>Event Sponsorships</t>
  </si>
  <si>
    <t>Campus event promotions</t>
  </si>
  <si>
    <t>Tech Companies</t>
  </si>
  <si>
    <t>TOTAL MONTHLY AD REVENUE:</t>
  </si>
  <si>
    <t>TOTAL ANNUAL AD REVENUE:</t>
  </si>
  <si>
    <t>Premium Feature</t>
  </si>
  <si>
    <t>Target Users</t>
  </si>
  <si>
    <t>Ad-Free Experience</t>
  </si>
  <si>
    <t>Remove all ads from platform</t>
  </si>
  <si>
    <t>Premium Past Papers</t>
  </si>
  <si>
    <t>Exclusive/latest papers, solutions</t>
  </si>
  <si>
    <t>Priority Faculty Data</t>
  </si>
  <si>
    <t>Detailed stats, grading patterns</t>
  </si>
  <si>
    <t>Unlimited Downloads</t>
  </si>
  <si>
    <t>No daily download limits</t>
  </si>
  <si>
    <t>Study Group Pro</t>
  </si>
  <si>
    <t>Private groups, file sharing</t>
  </si>
  <si>
    <t>Career Services</t>
  </si>
  <si>
    <t>CV review, job alerts, mentorship</t>
  </si>
  <si>
    <t>FUTURE</t>
  </si>
  <si>
    <t>Est. Deals/Yr</t>
  </si>
  <si>
    <t>EdTech Partner</t>
  </si>
  <si>
    <t>Logo + Ads + Webinars + Data</t>
  </si>
  <si>
    <t>University Partner</t>
  </si>
  <si>
    <t>Admissions ads + Events</t>
  </si>
  <si>
    <t>Career Partner</t>
  </si>
  <si>
    <t>Job board + Career events</t>
  </si>
  <si>
    <t>Tech Sponsor</t>
  </si>
  <si>
    <t>Banner + Hackathon sponsor</t>
  </si>
  <si>
    <t>Stationery/Books</t>
  </si>
  <si>
    <t>Product placements + Ads</t>
  </si>
  <si>
    <t>Course promotions</t>
  </si>
  <si>
    <t>Monthly Page Views:</t>
  </si>
  <si>
    <t>Monthly Unique Users:</t>
  </si>
  <si>
    <t>Registered Users:</t>
  </si>
  <si>
    <t>AdSense Revenue:</t>
  </si>
  <si>
    <t>PKR</t>
  </si>
  <si>
    <t>Premium Subs:</t>
  </si>
  <si>
    <t>TOTAL MONTHLY:</t>
  </si>
  <si>
    <t>TOTAL ANNUAL:</t>
  </si>
  <si>
    <t>Monthly Users</t>
  </si>
  <si>
    <t>Page Views</t>
  </si>
  <si>
    <t>Registered</t>
  </si>
  <si>
    <t>Premium Rev</t>
  </si>
  <si>
    <t>Current (Y1)</t>
  </si>
  <si>
    <t>Growth (Y2)</t>
  </si>
  <si>
    <t>Established (Y3)</t>
  </si>
  <si>
    <t>Leader (Y5)</t>
  </si>
  <si>
    <t>Investment PKR</t>
  </si>
  <si>
    <t>Expected Rev/Mo</t>
  </si>
  <si>
    <t>Key Actions</t>
  </si>
  <si>
    <t>Phase 1 (Current)</t>
  </si>
  <si>
    <t>COMSATS (7 campuses)</t>
  </si>
  <si>
    <t>Now</t>
  </si>
  <si>
    <t>Grow organic traffic, SEO</t>
  </si>
  <si>
    <t>Phase 2</t>
  </si>
  <si>
    <t>NUST, FAST-NU, LUMS</t>
  </si>
  <si>
    <t>Month 3-6</t>
  </si>
  <si>
    <t>Add papers, faculty reviews</t>
  </si>
  <si>
    <t>PLANNED</t>
  </si>
  <si>
    <t>Phase 3</t>
  </si>
  <si>
    <t>UET, PU, GCU, ITU</t>
  </si>
  <si>
    <t>Month 6-12</t>
  </si>
  <si>
    <t>Full coverage major cities</t>
  </si>
  <si>
    <t>Phase 4</t>
  </si>
  <si>
    <t>All 19+ Universities</t>
  </si>
  <si>
    <t>Year 2</t>
  </si>
  <si>
    <t>National platform</t>
  </si>
  <si>
    <t>Phase 5</t>
  </si>
  <si>
    <t>Mobile App + AI Features</t>
  </si>
  <si>
    <t>Year 2-3</t>
  </si>
  <si>
    <t>iOS/Android + AI tutor</t>
  </si>
  <si>
    <t>I. KEY PERFORMANCE INDICATORS (KPIs)</t>
  </si>
  <si>
    <t>Target Q2</t>
  </si>
  <si>
    <t>Monthly Active Users</t>
  </si>
  <si>
    <t>Track via Google Analytics</t>
  </si>
  <si>
    <t>Monthly Page Views</t>
  </si>
  <si>
    <t>SEO focus</t>
  </si>
  <si>
    <t>Registered Users</t>
  </si>
  <si>
    <t>Email capture priority</t>
  </si>
  <si>
    <t>Past Papers Count</t>
  </si>
  <si>
    <t>Community contributions</t>
  </si>
  <si>
    <t>Incentivize reviews</t>
  </si>
  <si>
    <t>Avg Session Duration</t>
  </si>
  <si>
    <t>4.5 min</t>
  </si>
  <si>
    <t>5.5 min</t>
  </si>
  <si>
    <t>7 min</t>
  </si>
  <si>
    <t>Engagement metric</t>
  </si>
  <si>
    <t>Ad Revenue (PKR)</t>
  </si>
  <si>
    <t>Fill rate optimization</t>
  </si>
  <si>
    <t>Premium Conversion</t>
  </si>
  <si>
    <t>Freemium strategy</t>
  </si>
  <si>
    <t>Optimize Google AdSense placement for higher CPM</t>
  </si>
  <si>
    <t>Revenue +20%</t>
  </si>
  <si>
    <t>Launch NUST past papers section</t>
  </si>
  <si>
    <t>Content</t>
  </si>
  <si>
    <t>Users +30%</t>
  </si>
  <si>
    <t>Contact 5 EdTech companies for sponsorship</t>
  </si>
  <si>
    <t>Revenue +50K</t>
  </si>
  <si>
    <t>Implement premium subscription model</t>
  </si>
  <si>
    <t>New revenue</t>
  </si>
  <si>
    <t>SEO optimization for 'past papers Pakistan'</t>
  </si>
  <si>
    <t>Traffic +50%</t>
  </si>
  <si>
    <t>Add FAST-NU faculty reviews</t>
  </si>
  <si>
    <t>Users +15%</t>
  </si>
  <si>
    <t>Partner with university career offices</t>
  </si>
  <si>
    <t>Launch mobile-responsive PWA</t>
  </si>
  <si>
    <t>Mobile users</t>
  </si>
  <si>
    <t>K. KEY STRATEGIC INSIGHTS FOR CAMPUSAXIS.PK</t>
  </si>
  <si>
    <t>2. CONTENT IS KING: 50,000+ past papers = organic SEO traffic = sustainable growth without marketing spend</t>
  </si>
  <si>
    <t>3. COMMUNITY MOAT: Student-contributed content creates network effect - more users = more papers = more users</t>
  </si>
  <si>
    <t>4. EXPAND CAREFULLY: COMSATS-first strategy proves model, then replicate to NUST, FAST, other universities</t>
  </si>
  <si>
    <t>5. PREMIUM UPSELL: Ad-free + exclusive features can convert 1-2% of users at PKR 99-249/month</t>
  </si>
  <si>
    <t>6. SPONSORSHIP GOLD: Universities, EdTech, job portals will pay to reach 100K+ engaged students</t>
  </si>
  <si>
    <t>7. MOBILE-FIRST: Pakistani students primarily use mobile - PWA/app is critical for growth</t>
  </si>
  <si>
    <t>8. UNIQUE VALUE: GPA Calculator accuracy + Faculty Reviews anonymity = features competitors lack</t>
  </si>
  <si>
    <t>1. FREE MODEL WORKS: 100% free access builds massive user base → monetize through ads &amp; sponsorships</t>
  </si>
  <si>
    <t>C. ADVERTISING REVENUE MODEL (USD Standard with PKR Equivalence)</t>
  </si>
  <si>
    <t>Monthly USD</t>
  </si>
  <si>
    <t>D. PREMIUM SUBSCRIPTION MODEL (USD Standard with PKR Equivalence)</t>
  </si>
  <si>
    <t>Annual USD</t>
  </si>
  <si>
    <t>Est. Subs</t>
  </si>
  <si>
    <t>TOTAL MONTHLY PREMIUM:</t>
  </si>
  <si>
    <t>E. SPONSORSHIP &amp; PARTNERSHIP (USD Standard with PKR Equivalence)</t>
  </si>
  <si>
    <t>TOTAL ANNUAL SPONSORSHIP:</t>
  </si>
  <si>
    <t>F. MONTHLY REVENUE CALCULATOR (USD Standard | Edit Yellow Cells)</t>
  </si>
  <si>
    <t>Premium Conversion %:</t>
  </si>
  <si>
    <t>AdSense CPM (USD):</t>
  </si>
  <si>
    <t>USD to PKR Rate:</t>
  </si>
  <si>
    <t>TOTAL ANNUAL USD:</t>
  </si>
  <si>
    <t>C. SAAS SUBSCRIPTION PRICING (USD Standard with PKR Equivalence)</t>
  </si>
  <si>
    <t>D. PER-TREATMENT PRICING MODEL (USD Standard with PKR Equivalence)</t>
  </si>
  <si>
    <t>Before/After Photo</t>
  </si>
  <si>
    <t>TOTAL PER-TREATMENT REVENUE:</t>
  </si>
  <si>
    <t>E. MONTHLY REVENUE CALCULATOR (USD Standard | Edit Yellow Cells)</t>
  </si>
  <si>
    <t>REVENUE SUMMARY (USD Standard with PKR Equivalence)</t>
  </si>
  <si>
    <t>F. MARKET COMPETITIVE ANALYSIS (Global Aesthetic Software - USD Standard)</t>
  </si>
  <si>
    <t>G. GROWTH PROJECTIONS (USD Standard with PKR Equivalence)</t>
  </si>
  <si>
    <t>Total Mo USD</t>
  </si>
  <si>
    <t>Total Mo PKR</t>
  </si>
  <si>
    <t>G. REALISTIC GROWTH PROJECTIONS (USD Standard with PKR Equivalence)</t>
  </si>
  <si>
    <t>Ad Rev USD</t>
  </si>
  <si>
    <t>Ad Rev PKR</t>
  </si>
  <si>
    <t>Premium USD</t>
  </si>
  <si>
    <t>Sponsor USD</t>
  </si>
  <si>
    <t>💱 CURRENCY REFERENCE</t>
  </si>
  <si>
    <t>1 USD =</t>
  </si>
  <si>
    <t>1 GBP =</t>
  </si>
  <si>
    <t>1 EUR =</t>
  </si>
  <si>
    <t>All prices shown in:</t>
  </si>
  <si>
    <t>• USD (Standard)</t>
  </si>
  <si>
    <t>• PKR (Equivalence)</t>
  </si>
  <si>
    <t>Rate: March 2025</t>
  </si>
  <si>
    <t>H. COMBINED MEGICODE PRODUCTS REVENUE (USD Standard)</t>
  </si>
  <si>
    <t>Product</t>
  </si>
  <si>
    <t>% Share</t>
  </si>
  <si>
    <t>COMBINED TOTAL:</t>
  </si>
  <si>
    <t>INPUTS (Edit Yellow)</t>
  </si>
  <si>
    <t>MONTHLY REVENUE</t>
  </si>
  <si>
    <t>Direct Ads:</t>
  </si>
  <si>
    <t>Sponsorship (mo):</t>
  </si>
  <si>
    <t>───────────────</t>
  </si>
  <si>
    <t>Price $</t>
  </si>
  <si>
    <t>Price ₨</t>
  </si>
  <si>
    <t>Monthly ₨</t>
  </si>
  <si>
    <t>Rate $</t>
  </si>
  <si>
    <t>Rate ₨</t>
  </si>
  <si>
    <t>Annual $</t>
  </si>
  <si>
    <t>Annual ₨</t>
  </si>
  <si>
    <t>Monthly $ Rev</t>
  </si>
  <si>
    <t>Monthly ₨ Rev</t>
  </si>
  <si>
    <t>USD $</t>
  </si>
  <si>
    <t>Setup $</t>
  </si>
  <si>
    <t>Setup ₨</t>
  </si>
  <si>
    <t>Per User $</t>
  </si>
  <si>
    <t>Per Use $</t>
  </si>
  <si>
    <t>Per Use ₨</t>
  </si>
  <si>
    <t>Clinic Charges $</t>
  </si>
  <si>
    <t>Clinic Charges ₨</t>
  </si>
  <si>
    <t>Est. Rev $</t>
  </si>
  <si>
    <t>Est. Rev ₨</t>
  </si>
  <si>
    <t>Plan $</t>
  </si>
  <si>
    <t>Fee $</t>
  </si>
  <si>
    <t>Rev $</t>
  </si>
  <si>
    <t>Rev ₨</t>
  </si>
  <si>
    <t>Our Price $</t>
  </si>
  <si>
    <t>Our Price ₨</t>
  </si>
  <si>
    <t>Savings $</t>
  </si>
  <si>
    <t>Avg $/Client</t>
  </si>
  <si>
    <t>Subs $</t>
  </si>
  <si>
    <t>Subs ₨</t>
  </si>
  <si>
    <t>Per-Use $</t>
  </si>
  <si>
    <t>Total Mo $</t>
  </si>
  <si>
    <t>Total Mo ₨</t>
  </si>
  <si>
    <t>Number of Pages:</t>
  </si>
  <si>
    <t>PM &amp; QA (15%):</t>
  </si>
  <si>
    <t>Small Business</t>
  </si>
  <si>
    <t>Startups</t>
  </si>
  <si>
    <t>Mixed</t>
  </si>
  <si>
    <t>Retail</t>
  </si>
  <si>
    <t>UI/UX Design</t>
  </si>
  <si>
    <t>Startup</t>
  </si>
  <si>
    <t>SME</t>
  </si>
  <si>
    <t>Tech</t>
  </si>
  <si>
    <t>A. YOUR HOURLY RATE (Edit Yellow Cell)</t>
  </si>
  <si>
    <t>Your Rate $/hr:</t>
  </si>
  <si>
    <t>PKR/hr:</t>
  </si>
  <si>
    <t>B. WEB APPLICATION CALCULATOR</t>
  </si>
  <si>
    <t>INPUT</t>
  </si>
  <si>
    <t>Hrs/Unit</t>
  </si>
  <si>
    <t>Cost $</t>
  </si>
  <si>
    <t>Cost PKR</t>
  </si>
  <si>
    <t>User Authentication:</t>
  </si>
  <si>
    <t>Payment Gateway:</t>
  </si>
  <si>
    <t>SUBTOTAL:</t>
  </si>
  <si>
    <t>Buffer (10%):</t>
  </si>
  <si>
    <t>TOTAL WEB APP:</t>
  </si>
  <si>
    <t>C. MOBILE APP CALCULATOR</t>
  </si>
  <si>
    <t>Number of Screens:</t>
  </si>
  <si>
    <t>Push Notifications:</t>
  </si>
  <si>
    <t>User Auth (Social):</t>
  </si>
  <si>
    <t>Offline Mode:</t>
  </si>
  <si>
    <t>In-App Payments:</t>
  </si>
  <si>
    <t>TOTAL MOBILE APP:</t>
  </si>
  <si>
    <t>D. AI/ML PROJECT CALCULATOR</t>
  </si>
  <si>
    <t>Data Collection/Prep:</t>
  </si>
  <si>
    <t>ML Model Development:</t>
  </si>
  <si>
    <t>Model Training:</t>
  </si>
  <si>
    <t>API Integration:</t>
  </si>
  <si>
    <t>Dashboard/UI:</t>
  </si>
  <si>
    <t>Chatbot/NLP:</t>
  </si>
  <si>
    <t>Buffer (15%):</t>
  </si>
  <si>
    <t>TOTAL AI/ML:</t>
  </si>
  <si>
    <t>E. E-COMMERCE PLATFORM CALCULATOR</t>
  </si>
  <si>
    <t>Categories:</t>
  </si>
  <si>
    <t>Shopping Cart:</t>
  </si>
  <si>
    <t>Checkout Flow:</t>
  </si>
  <si>
    <t>Inventory System:</t>
  </si>
  <si>
    <t>Order Management:</t>
  </si>
  <si>
    <t>TOTAL E-COMMERCE:</t>
  </si>
  <si>
    <t>F. AUTOMATION CALCULATOR</t>
  </si>
  <si>
    <t>Hrs</t>
  </si>
  <si>
    <t>Workflow Automations:</t>
  </si>
  <si>
    <t>Email Automation:</t>
  </si>
  <si>
    <t>Data Integration:</t>
  </si>
  <si>
    <t>Report Automation:</t>
  </si>
  <si>
    <t>CRM Integration:</t>
  </si>
  <si>
    <t>Zapier/Make Setup:</t>
  </si>
  <si>
    <t>TOTAL AUTOMATION:</t>
  </si>
  <si>
    <t>G. CLOUD/DEVOPS CALCULATOR</t>
  </si>
  <si>
    <t>AWS/Azure Setup:</t>
  </si>
  <si>
    <t>CI/CD Pipeline:</t>
  </si>
  <si>
    <t>Docker Setup:</t>
  </si>
  <si>
    <t>Kubernetes:</t>
  </si>
  <si>
    <t>Monitoring Setup:</t>
  </si>
  <si>
    <t>Security Config:</t>
  </si>
  <si>
    <t>TOTAL CLOUD:</t>
  </si>
  <si>
    <t>H. UI/UX DESIGN CALCULATOR</t>
  </si>
  <si>
    <t>Wireframes:</t>
  </si>
  <si>
    <t>UI Mockups:</t>
  </si>
  <si>
    <t>Interactive Prototype:</t>
  </si>
  <si>
    <t>Design System:</t>
  </si>
  <si>
    <t>User Research:</t>
  </si>
  <si>
    <t>Usability Testing:</t>
  </si>
  <si>
    <t>TOTAL UI/UX:</t>
  </si>
  <si>
    <t>I. CONSULTING CALCULATOR</t>
  </si>
  <si>
    <t>Discovery Call:</t>
  </si>
  <si>
    <t>Tech Audit:</t>
  </si>
  <si>
    <t>Architecture Review:</t>
  </si>
  <si>
    <t>Strategy Sessions:</t>
  </si>
  <si>
    <t>Documentation:</t>
  </si>
  <si>
    <t>TOTAL CONSULTING:</t>
  </si>
  <si>
    <t>J. GRAND TOTAL (All Services)</t>
  </si>
  <si>
    <t>Total $</t>
  </si>
  <si>
    <t>Total PKR</t>
  </si>
  <si>
    <t>Web Application:</t>
  </si>
  <si>
    <t>Mobile App:</t>
  </si>
  <si>
    <t>AI/ML Project:</t>
  </si>
  <si>
    <t>E-Commerce:</t>
  </si>
  <si>
    <t>Automation:</t>
  </si>
  <si>
    <t>Cloud/DevOps:</t>
  </si>
  <si>
    <t>UI/UX Design:</t>
  </si>
  <si>
    <t>Consulting:</t>
  </si>
  <si>
    <t>═══════════════</t>
  </si>
  <si>
    <t>GRAND TOTAL:</t>
  </si>
  <si>
    <t>K. QUICK PROJECT ESTIMATES (Reference)</t>
  </si>
  <si>
    <t>Landing Page (5 pages)</t>
  </si>
  <si>
    <t>1 week</t>
  </si>
  <si>
    <t>Business Website (10 pages)</t>
  </si>
  <si>
    <t>E-commerce Store</t>
  </si>
  <si>
    <t>6-8 weeks</t>
  </si>
  <si>
    <t>Custom Web App</t>
  </si>
  <si>
    <t>8-10 weeks</t>
  </si>
  <si>
    <t>Mobile App (Single)</t>
  </si>
  <si>
    <t>Mobile App (iOS+Android)</t>
  </si>
  <si>
    <t>12-14 weeks</t>
  </si>
  <si>
    <t>SaaS Platform</t>
  </si>
  <si>
    <t>14-18 weeks</t>
  </si>
  <si>
    <t>Full Enterprise System</t>
  </si>
  <si>
    <t>20-24 weeks</t>
  </si>
  <si>
    <t>L. HOW TO USE THIS CALCULATOR</t>
  </si>
  <si>
    <t>✓ Edit YELLOW cells only - all calculations update automatically</t>
  </si>
  <si>
    <t>✓ Set value to 0 for features you don't need</t>
  </si>
  <si>
    <t>✓ PM &amp; QA (15%) and Buffer (10%) are automatically added</t>
  </si>
  <si>
    <t>✓ Grand Total (Section J) shows combined cost of all services</t>
  </si>
  <si>
    <t>✓ All prices show USD ($) standard and PKR (₨) equivalence</t>
  </si>
  <si>
    <t>SMBs</t>
  </si>
  <si>
    <t>Corporates</t>
  </si>
  <si>
    <t>💱 1 USD =</t>
  </si>
  <si>
    <t>Custom Web Application</t>
  </si>
  <si>
    <t>Brand Identity Package</t>
  </si>
  <si>
    <t>Business Card Design</t>
  </si>
  <si>
    <t>Presentation Design</t>
  </si>
  <si>
    <t>Social Media Post Design</t>
  </si>
  <si>
    <t>Simple Logo Edits/Resize</t>
  </si>
  <si>
    <t>Email Template Design</t>
  </si>
  <si>
    <t>Banner/Ad Graphics</t>
  </si>
  <si>
    <t>Document Formatting</t>
  </si>
  <si>
    <t>Photo Editing (Basic)</t>
  </si>
  <si>
    <t>Cloud Architecture (AWS/Azure)</t>
  </si>
  <si>
    <t>SaaS Platform Development</t>
  </si>
  <si>
    <t>Social Media Kit (10 posts)</t>
  </si>
  <si>
    <t>E-commerce Starter</t>
  </si>
  <si>
    <t>Tier</t>
  </si>
  <si>
    <t>🟢 BUDGET</t>
  </si>
  <si>
    <t>$5-$7/hr</t>
  </si>
  <si>
    <t>$8-$10/hr</t>
  </si>
  <si>
    <t>$11-$13/hr</t>
  </si>
  <si>
    <t>🔴 PREMIUM</t>
  </si>
  <si>
    <t>$14-$15/hr</t>
  </si>
  <si>
    <t>Expert</t>
  </si>
  <si>
    <t>₨/hr</t>
  </si>
  <si>
    <t>Typical Hrs</t>
  </si>
  <si>
    <t>Project $</t>
  </si>
  <si>
    <t>Project ₨</t>
  </si>
  <si>
    <t>Basic Data Entry</t>
  </si>
  <si>
    <t>Complexity</t>
  </si>
  <si>
    <t>Creative</t>
  </si>
  <si>
    <t>Easy</t>
  </si>
  <si>
    <t>Same Day</t>
  </si>
  <si>
    <t>Daily content</t>
  </si>
  <si>
    <t>Brand updates</t>
  </si>
  <si>
    <t>Admin</t>
  </si>
  <si>
    <t>1-2 Days</t>
  </si>
  <si>
    <t>Bulk data</t>
  </si>
  <si>
    <t>Ads/Promos</t>
  </si>
  <si>
    <t>Reports</t>
  </si>
  <si>
    <t>Quick fixes</t>
  </si>
  <si>
    <t>Icon Design (Set of 5)</t>
  </si>
  <si>
    <t>Easy-Med</t>
  </si>
  <si>
    <t>2-3 Days</t>
  </si>
  <si>
    <t>App/Web icons</t>
  </si>
  <si>
    <t>Pitch decks</t>
  </si>
  <si>
    <t>Branding</t>
  </si>
  <si>
    <t>Logo Design (Custom)</t>
  </si>
  <si>
    <t>3-5 Days</t>
  </si>
  <si>
    <t>New brands</t>
  </si>
  <si>
    <t>1 Week</t>
  </si>
  <si>
    <t>Flyer/Brochure Design</t>
  </si>
  <si>
    <t>Campaigns</t>
  </si>
  <si>
    <t>WordPress Setup (Basic)</t>
  </si>
  <si>
    <t>Small biz</t>
  </si>
  <si>
    <t>Landing Page (1 page)</t>
  </si>
  <si>
    <t>Lead gen</t>
  </si>
  <si>
    <t>Video Editing (Short)</t>
  </si>
  <si>
    <t>Reels/Shorts</t>
  </si>
  <si>
    <t>Infographic Design</t>
  </si>
  <si>
    <t>Data visuals</t>
  </si>
  <si>
    <t>Excel Dashboard (Basic)</t>
  </si>
  <si>
    <t>Reporting</t>
  </si>
  <si>
    <t>Email Marketing Setup</t>
  </si>
  <si>
    <t>Automation</t>
  </si>
  <si>
    <t>Custom Website (5-10 pages)</t>
  </si>
  <si>
    <t>2-3 Weeks</t>
  </si>
  <si>
    <t>E-commerce Setup</t>
  </si>
  <si>
    <t>3-4 Weeks</t>
  </si>
  <si>
    <t>Online stores</t>
  </si>
  <si>
    <t>UI/UX Design (App)</t>
  </si>
  <si>
    <t>1-2 Weeks</t>
  </si>
  <si>
    <t>App projects</t>
  </si>
  <si>
    <t>Ads/Intros</t>
  </si>
  <si>
    <t>SEO Optimization</t>
  </si>
  <si>
    <t>Ongoing</t>
  </si>
  <si>
    <t>Visibility</t>
  </si>
  <si>
    <t>CRM Setup (Zoho/HubSpot)</t>
  </si>
  <si>
    <t>Sales teams</t>
  </si>
  <si>
    <t>API Integration (Basic)</t>
  </si>
  <si>
    <t>Video Editing (Long Form)</t>
  </si>
  <si>
    <t>YouTube</t>
  </si>
  <si>
    <t>Complete Brand Guidelines</t>
  </si>
  <si>
    <t>Database Design</t>
  </si>
  <si>
    <t>Data systems</t>
  </si>
  <si>
    <t>6-8 Weeks</t>
  </si>
  <si>
    <t>Mobile App Development</t>
  </si>
  <si>
    <t>8-12 Weeks</t>
  </si>
  <si>
    <t>Products</t>
  </si>
  <si>
    <t>4-6 Weeks</t>
  </si>
  <si>
    <t>Innovation</t>
  </si>
  <si>
    <t>12-16 Weeks</t>
  </si>
  <si>
    <t>DevOps &amp; CI/CD Setup</t>
  </si>
  <si>
    <t>Dev teams</t>
  </si>
  <si>
    <t>Full E-commerce Platform</t>
  </si>
  <si>
    <t>8-10 Weeks</t>
  </si>
  <si>
    <t>Business Automation System</t>
  </si>
  <si>
    <t>Operations</t>
  </si>
  <si>
    <t>Consulting</t>
  </si>
  <si>
    <t>Flexible</t>
  </si>
  <si>
    <t>Strategy</t>
  </si>
  <si>
    <t>System Architecture Design</t>
  </si>
  <si>
    <t>Planning</t>
  </si>
  <si>
    <t>Rate Range $</t>
  </si>
  <si>
    <t>Rate Range ₨</t>
  </si>
  <si>
    <t>Service Types</t>
  </si>
  <si>
    <t>Typical Project $</t>
  </si>
  <si>
    <t>Client Type</t>
  </si>
  <si>
    <t>Your Margin</t>
  </si>
  <si>
    <t>Volume</t>
  </si>
  <si>
    <t>Daily Min $</t>
  </si>
  <si>
    <t>Daily Max $</t>
  </si>
  <si>
    <t>Quick tasks, edits, simple design</t>
  </si>
  <si>
    <t>$10-$50</t>
  </si>
  <si>
    <t>Individuals, SMBs</t>
  </si>
  <si>
    <t>40-50%</t>
  </si>
  <si>
    <t>🟡 STANDARD</t>
  </si>
  <si>
    <t>Logo, branding, basic tech</t>
  </si>
  <si>
    <t>$50-$150</t>
  </si>
  <si>
    <t>SMBs, Startups</t>
  </si>
  <si>
    <t>50-60%</t>
  </si>
  <si>
    <t>🟠 PROFESSIONAL</t>
  </si>
  <si>
    <t>Websites, apps, complex design</t>
  </si>
  <si>
    <t>$150-$650</t>
  </si>
  <si>
    <t>Businesses</t>
  </si>
  <si>
    <t>55-65%</t>
  </si>
  <si>
    <t>SaaS, AI/ML, enterprise</t>
  </si>
  <si>
    <t>$500-$3000</t>
  </si>
  <si>
    <t>Enterprises</t>
  </si>
  <si>
    <t>60-70%</t>
  </si>
  <si>
    <t>Low</t>
  </si>
  <si>
    <t>All work done in-house by founders &amp; trusted team - full quality control</t>
  </si>
  <si>
    <t>Budget clients get $5 services, premium clients get $15 tech work</t>
  </si>
  <si>
    <t>At $10/hr avg × 6hrs/day = $60/day = $1,800/month sustainable income</t>
  </si>
  <si>
    <t>Below agency rates ($25-50/hr) but above Fiverr chaos ($3-5/hr)</t>
  </si>
  <si>
    <t>Start client with $5 post design → upgrade to $15 web app over time</t>
  </si>
  <si>
    <t>Direct clients = keep 100% (Fiverr takes 20%, Upwork 10-20%)</t>
  </si>
  <si>
    <t>Creative ($5-10) + Tech ($10-15) + Consulting ($15) = multiple streams</t>
  </si>
  <si>
    <t>INPUT (Edit Yellow)</t>
  </si>
  <si>
    <t>Budget Tier Projects/Month:</t>
  </si>
  <si>
    <t>Standard Tier Projects/Month:</t>
  </si>
  <si>
    <t>Professional Tier Projects/Month:</t>
  </si>
  <si>
    <t>Premium Tier Projects/Month:</t>
  </si>
  <si>
    <t>Avg Hours per Project:</t>
  </si>
  <si>
    <t>REVENUE BREAKDOWN</t>
  </si>
  <si>
    <t>Avg $/hr</t>
  </si>
  <si>
    <t>Est Hours</t>
  </si>
  <si>
    <t>Revenue $</t>
  </si>
  <si>
    <t>Budget Tier Revenue:</t>
  </si>
  <si>
    <t>Standard Tier Revenue:</t>
  </si>
  <si>
    <t>Professional Tier Revenue:</t>
  </si>
  <si>
    <t>Premium Tier Revenue:</t>
  </si>
  <si>
    <t>PKR Equivalent:</t>
  </si>
  <si>
    <t>Package Name</t>
  </si>
  <si>
    <t>Services Included</t>
  </si>
  <si>
    <t>Total Hours</t>
  </si>
  <si>
    <t>Regular $</t>
  </si>
  <si>
    <t>Package $</t>
  </si>
  <si>
    <t>You Save $</t>
  </si>
  <si>
    <t>Startup Branding Kit</t>
  </si>
  <si>
    <t>Logo + Business Card + Letterhead + Social Kit</t>
  </si>
  <si>
    <t>New businesses</t>
  </si>
  <si>
    <t>Standard</t>
  </si>
  <si>
    <t>Social Media Bundle</t>
  </si>
  <si>
    <t>20 Posts + 5 Stories + 2 Banners + Profile Setup</t>
  </si>
  <si>
    <t>Content creators</t>
  </si>
  <si>
    <t>Basic Web Presence</t>
  </si>
  <si>
    <t>5-Page Website + Logo + SEO Setup</t>
  </si>
  <si>
    <t>Small businesses</t>
  </si>
  <si>
    <t>Professional</t>
  </si>
  <si>
    <t>Online Store + 50 Products + Payment Setup</t>
  </si>
  <si>
    <t>Online sellers</t>
  </si>
  <si>
    <t>Complete Digital Identity</t>
  </si>
  <si>
    <t>Website + Logo + Brand Guide + Social Kit</t>
  </si>
  <si>
    <t>Marketing Essentials</t>
  </si>
  <si>
    <t>Email Setup + 10 Templates + Landing Page</t>
  </si>
  <si>
    <t>Marketing teams</t>
  </si>
  <si>
    <t>Enterprise Solution</t>
  </si>
  <si>
    <t>Web App + Mobile App + Admin Dashboard</t>
  </si>
  <si>
    <t>Growing companies</t>
  </si>
  <si>
    <t>E-commerce</t>
  </si>
  <si>
    <t>Revenue Type</t>
  </si>
  <si>
    <t>Content Writing</t>
  </si>
  <si>
    <t>Social Media Mgmt</t>
  </si>
  <si>
    <t>RECURRING</t>
  </si>
  <si>
    <t>Print/Package Design</t>
  </si>
  <si>
    <t>✓ Change hourly rate in cell B6 ($15 default) to adjust pricing</t>
  </si>
  <si>
    <t>$/Month</t>
  </si>
  <si>
    <t>₨/Month</t>
  </si>
  <si>
    <t>Hours Incl.</t>
  </si>
  <si>
    <t>Extra $/hr</t>
  </si>
  <si>
    <t>Social Media Management</t>
  </si>
  <si>
    <t>8 posts, scheduling, reporting</t>
  </si>
  <si>
    <t>3-month min</t>
  </si>
  <si>
    <t>Social Media Management Pro</t>
  </si>
  <si>
    <t>20 posts, engagement, ads support</t>
  </si>
  <si>
    <t>Brands</t>
  </si>
  <si>
    <t>6-month min</t>
  </si>
  <si>
    <t>Website Maintenance (Basic)</t>
  </si>
  <si>
    <t>Updates, backups, monitoring</t>
  </si>
  <si>
    <t>All clients</t>
  </si>
  <si>
    <t>Website Maintenance (Pro)</t>
  </si>
  <si>
    <t>Updates, backups, security, support</t>
  </si>
  <si>
    <t>Business</t>
  </si>
  <si>
    <t>Google Ads Management</t>
  </si>
  <si>
    <t>Campaign setup, optimization, reporting</t>
  </si>
  <si>
    <t>Meta/Facebook Ads Mgmt</t>
  </si>
  <si>
    <t>Ad creation, targeting, optimization</t>
  </si>
  <si>
    <t>Content Writing (Monthly)</t>
  </si>
  <si>
    <t>8 blog posts or 20 social captions</t>
  </si>
  <si>
    <t>Content mktg</t>
  </si>
  <si>
    <t>SEO Retainer</t>
  </si>
  <si>
    <t>Audits, keywords, link building</t>
  </si>
  <si>
    <t>Growing biz</t>
  </si>
  <si>
    <t>Virtual Assistant</t>
  </si>
  <si>
    <t>Email, scheduling, research, data entry</t>
  </si>
  <si>
    <t>Busy founders</t>
  </si>
  <si>
    <t>Full Digital Package</t>
  </si>
  <si>
    <t>Bundle</t>
  </si>
  <si>
    <t>Social + Website + Ads combined</t>
  </si>
  <si>
    <t>Serious biz</t>
  </si>
  <si>
    <t>Social Media Clients:</t>
  </si>
  <si>
    <t>Avg $225/mo</t>
  </si>
  <si>
    <t>MRR $:</t>
  </si>
  <si>
    <t>Website Maintenance Clients:</t>
  </si>
  <si>
    <t>Avg $100/mo</t>
  </si>
  <si>
    <t>Ads Management Clients:</t>
  </si>
  <si>
    <t>Avg $200/mo</t>
  </si>
  <si>
    <t>Content/SEO Clients:</t>
  </si>
  <si>
    <t>Avg $275/mo</t>
  </si>
  <si>
    <t>Full Package Clients:</t>
  </si>
  <si>
    <t>$500/mo</t>
  </si>
  <si>
    <t>═══════════════════════════════════</t>
  </si>
  <si>
    <t>TOTAL MRR:</t>
  </si>
  <si>
    <t>ANNUAL RECURRING:</t>
  </si>
  <si>
    <t>K. ➕ ADDITIONAL SERVICES (Filling the Gaps)</t>
  </si>
  <si>
    <t>WhatsApp Bot Development</t>
  </si>
  <si>
    <t>Local businesses</t>
  </si>
  <si>
    <t>Shopify Store Setup</t>
  </si>
  <si>
    <t>Content Writing (Blog Post)</t>
  </si>
  <si>
    <t>SEO/Marketing</t>
  </si>
  <si>
    <t>Copywriting (Sales Page)</t>
  </si>
  <si>
    <t>Conversion</t>
  </si>
  <si>
    <t>Domain &amp; Hosting Setup</t>
  </si>
  <si>
    <t>All websites</t>
  </si>
  <si>
    <t>Business Email Setup</t>
  </si>
  <si>
    <t>POLICY</t>
  </si>
  <si>
    <t>STANDARD</t>
  </si>
  <si>
    <t>DETAILS</t>
  </si>
  <si>
    <t>$25 USD</t>
  </si>
  <si>
    <t>No projects under $25 to ensure quality time investment</t>
  </si>
  <si>
    <t>2-3 Revisions</t>
  </si>
  <si>
    <t>Budget: 2 | Standard: 2 | Pro: 3 | Premium: 3 revisions included</t>
  </si>
  <si>
    <t>➕ Extra Revisions</t>
  </si>
  <si>
    <t>+$10-25 each</t>
  </si>
  <si>
    <t>Budget: $10 | Standard: $15 | Pro: $20 | Premium: $25 per extra revision</t>
  </si>
  <si>
    <t>⚡ Rush/Express Fee</t>
  </si>
  <si>
    <t>+25% to +50%</t>
  </si>
  <si>
    <t>24-48hr: +50% | 3-5 days: +25% | Normal timeline: Standard rate</t>
  </si>
  <si>
    <t>💳 Payment Terms</t>
  </si>
  <si>
    <t>50% Upfront</t>
  </si>
  <si>
    <t>50% before start, 50% on delivery. Full upfront for &lt;$100 projects</t>
  </si>
  <si>
    <t>❌ Cancellation Policy</t>
  </si>
  <si>
    <t>50% Non-refundable</t>
  </si>
  <si>
    <t>Deposit is non-refundable. Work completed will be billed at hourly rate</t>
  </si>
  <si>
    <t>🛠️ Post-Delivery Support</t>
  </si>
  <si>
    <t>7-14 Days Free</t>
  </si>
  <si>
    <t>Bug fixes free for 7 days (tech) | 14 days for design tweaks</t>
  </si>
  <si>
    <t>⭐ Retainer Client Benefits</t>
  </si>
  <si>
    <t>Priority + 10% Off</t>
  </si>
  <si>
    <t>Monthly retainer clients get priority scheduling + 10% discount on extra work</t>
  </si>
  <si>
    <t>📝 Scope Change Policy</t>
  </si>
  <si>
    <t>Written Approval</t>
  </si>
  <si>
    <t>Any scope changes require written approval and may incur additional charges</t>
  </si>
  <si>
    <t>═══════════════════════════════════════════════════════════════════════════</t>
  </si>
  <si>
    <t>CATEGORY</t>
  </si>
  <si>
    <t>COUNT</t>
  </si>
  <si>
    <t>RATE RANGE</t>
  </si>
  <si>
    <t>REVENUE TYPE</t>
  </si>
  <si>
    <t>$50-$500/mo</t>
  </si>
  <si>
    <t>➕ Additional Services</t>
  </si>
  <si>
    <t>$6-$13/hr</t>
  </si>
  <si>
    <t>$5-$500</t>
  </si>
  <si>
    <t>Project Revenue (G80):</t>
  </si>
  <si>
    <t>USD</t>
  </si>
  <si>
    <t>Recurring Revenue (E114):</t>
  </si>
  <si>
    <t>5. OUTSOURCE MARGIN CALCULATOR (Aligned to $5-$15 Tiered Pricing)</t>
  </si>
  <si>
    <t>TIER RATE REFERENCE:</t>
  </si>
  <si>
    <t>Use For</t>
  </si>
  <si>
    <t>Quick tasks, edits</t>
  </si>
  <si>
    <t>Logo, branding, basic</t>
  </si>
  <si>
    <t>Websites, apps</t>
  </si>
  <si>
    <t>SERVICE</t>
  </si>
  <si>
    <t>SUB-SERVICES / DELIVERABLES</t>
  </si>
  <si>
    <t>$/HR</t>
  </si>
  <si>
    <t>PROJECT $</t>
  </si>
  <si>
    <t>Logo &amp; Branding</t>
  </si>
  <si>
    <t>Logo Design</t>
  </si>
  <si>
    <t>Primary logo, Alternate versions, Favicon, Monochrome</t>
  </si>
  <si>
    <t>Logo concepts (3-5 options)</t>
  </si>
  <si>
    <t>$80-$120</t>
  </si>
  <si>
    <t>Logo refresh/modernization</t>
  </si>
  <si>
    <t>$40-$80</t>
  </si>
  <si>
    <t>Logo animation (simple)</t>
  </si>
  <si>
    <t>$100-$200</t>
  </si>
  <si>
    <t>Logo + Colors + Typography + Guidelines</t>
  </si>
  <si>
    <t>$150-$300</t>
  </si>
  <si>
    <t>Brand style guide document</t>
  </si>
  <si>
    <t>$100-$150</t>
  </si>
  <si>
    <t>Brand mood board</t>
  </si>
  <si>
    <t>$30-$50</t>
  </si>
  <si>
    <t>Brand voice &amp; messaging guide</t>
  </si>
  <si>
    <t>$150-$250</t>
  </si>
  <si>
    <t>Business Collateral</t>
  </si>
  <si>
    <t>Business cards (front &amp; back)</t>
  </si>
  <si>
    <t>$12-$25</t>
  </si>
  <si>
    <t>Letterhead design</t>
  </si>
  <si>
    <t>$15-$30</t>
  </si>
  <si>
    <t>Envelope design</t>
  </si>
  <si>
    <t>$10-$20</t>
  </si>
  <si>
    <t>Email signature design</t>
  </si>
  <si>
    <t>Invoice/receipt template</t>
  </si>
  <si>
    <t>Presentation template (PPT)</t>
  </si>
  <si>
    <t>Proposal template</t>
  </si>
  <si>
    <t>$50-$100</t>
  </si>
  <si>
    <t>Social Media Design</t>
  </si>
  <si>
    <t>Single post design</t>
  </si>
  <si>
    <t>$5-$15</t>
  </si>
  <si>
    <t>Social media kit (10 posts)</t>
  </si>
  <si>
    <t>$50-$80</t>
  </si>
  <si>
    <t>Social media kit (20 posts)</t>
  </si>
  <si>
    <t>Story templates (5 designs)</t>
  </si>
  <si>
    <t>$25-$40</t>
  </si>
  <si>
    <t>Highlight covers (10 icons)</t>
  </si>
  <si>
    <t>$20-$35</t>
  </si>
  <si>
    <t>Profile banner/cover</t>
  </si>
  <si>
    <t>Carousel post design</t>
  </si>
  <si>
    <t>Social media ad creatives</t>
  </si>
  <si>
    <t>$30-$60</t>
  </si>
  <si>
    <t>Print Design</t>
  </si>
  <si>
    <t>Flyer design (single page)</t>
  </si>
  <si>
    <t>$25-$50</t>
  </si>
  <si>
    <t>Brochure (bi-fold)</t>
  </si>
  <si>
    <t>Brochure (tri-fold)</t>
  </si>
  <si>
    <t>Poster design</t>
  </si>
  <si>
    <t>Banner/billboard design</t>
  </si>
  <si>
    <t>Menu design (restaurant)</t>
  </si>
  <si>
    <t>$60-$120</t>
  </si>
  <si>
    <t>Catalog design (per page)</t>
  </si>
  <si>
    <t>$15-$25/pg</t>
  </si>
  <si>
    <t>Magazine layout (per page)</t>
  </si>
  <si>
    <t>$20-$35/pg</t>
  </si>
  <si>
    <t>Book cover design</t>
  </si>
  <si>
    <t>$80-$150</t>
  </si>
  <si>
    <t>Annual report design</t>
  </si>
  <si>
    <t>$300-$600</t>
  </si>
  <si>
    <t>Food packaging design</t>
  </si>
  <si>
    <t>Infographics</t>
  </si>
  <si>
    <t>Simple infographic</t>
  </si>
  <si>
    <t>$45-$80</t>
  </si>
  <si>
    <t>Complex infographic</t>
  </si>
  <si>
    <t>Data visualization charts</t>
  </si>
  <si>
    <t>Process flow diagram</t>
  </si>
  <si>
    <t>Timeline infographic</t>
  </si>
  <si>
    <t>Illustration &amp; Icons</t>
  </si>
  <si>
    <t>Custom icon set (10 icons)</t>
  </si>
  <si>
    <t>Custom icon set (25 icons)</t>
  </si>
  <si>
    <t>$100-$180</t>
  </si>
  <si>
    <t>Simple illustration</t>
  </si>
  <si>
    <t>Character design</t>
  </si>
  <si>
    <t>Mascot design</t>
  </si>
  <si>
    <t>Pattern design</t>
  </si>
  <si>
    <t>Photo Editing</t>
  </si>
  <si>
    <t>Basic photo editing (per photo)</t>
  </si>
  <si>
    <t>$5-$10</t>
  </si>
  <si>
    <t>Advanced retouching</t>
  </si>
  <si>
    <t>Background removal</t>
  </si>
  <si>
    <t>$3-$8</t>
  </si>
  <si>
    <t>Photo manipulation/composite</t>
  </si>
  <si>
    <t>Product photo editing</t>
  </si>
  <si>
    <t>$8-$15</t>
  </si>
  <si>
    <t>Portrait retouching</t>
  </si>
  <si>
    <t>$20-$40</t>
  </si>
  <si>
    <t>Batch editing (10+ photos)</t>
  </si>
  <si>
    <t>$3-$5/photo</t>
  </si>
  <si>
    <t>Video Editing</t>
  </si>
  <si>
    <t>Short-Form Video</t>
  </si>
  <si>
    <t>Reel/TikTok editing (up to 60s)</t>
  </si>
  <si>
    <t>YouTube Shorts</t>
  </si>
  <si>
    <t>Instagram Story video</t>
  </si>
  <si>
    <t>Promo video (30-60s)</t>
  </si>
  <si>
    <t>Long-Form Video</t>
  </si>
  <si>
    <t>YouTube video (5-10 min)</t>
  </si>
  <si>
    <t>YouTube video (10-20 min)</t>
  </si>
  <si>
    <t>$120-$200</t>
  </si>
  <si>
    <t>Podcast video editing</t>
  </si>
  <si>
    <t>Webinar/course editing</t>
  </si>
  <si>
    <t>$50-$100/hr</t>
  </si>
  <si>
    <t>Documentary editing</t>
  </si>
  <si>
    <t>$200-$500</t>
  </si>
  <si>
    <t>Wedding/event video</t>
  </si>
  <si>
    <t>$200-$400</t>
  </si>
  <si>
    <t>Logo animation</t>
  </si>
  <si>
    <t>Animated intro/outro (5-10s)</t>
  </si>
  <si>
    <t>Lower thirds pack</t>
  </si>
  <si>
    <t>Animated explainer (60s)</t>
  </si>
  <si>
    <t>Animated infographic</t>
  </si>
  <si>
    <t>Social media animation</t>
  </si>
  <si>
    <t>Product animation (3D look)</t>
  </si>
  <si>
    <t>Kinetic typography</t>
  </si>
  <si>
    <t>Video Support</t>
  </si>
  <si>
    <t>Subtitles/captions (per min)</t>
  </si>
  <si>
    <t>$2-$5/min</t>
  </si>
  <si>
    <t>Video transcription</t>
  </si>
  <si>
    <t>$1-$3/min</t>
  </si>
  <si>
    <t>Color grading</t>
  </si>
  <si>
    <t>Audio sync &amp; cleanup</t>
  </si>
  <si>
    <t>Thumbnail design</t>
  </si>
  <si>
    <t>$10-$25</t>
  </si>
  <si>
    <t>Website Dev</t>
  </si>
  <si>
    <t>Landing Pages</t>
  </si>
  <si>
    <t>Single landing page</t>
  </si>
  <si>
    <t>Sales/funnel landing page</t>
  </si>
  <si>
    <t>Lead capture page</t>
  </si>
  <si>
    <t>Coming soon page</t>
  </si>
  <si>
    <t>Event landing page</t>
  </si>
  <si>
    <t>Business Websites</t>
  </si>
  <si>
    <t>Simple website (1-3 pages)</t>
  </si>
  <si>
    <t>Business website (5-7 pages)</t>
  </si>
  <si>
    <t>$400-$600</t>
  </si>
  <si>
    <t>Business website (10+ pages)</t>
  </si>
  <si>
    <t>$600-$1000</t>
  </si>
  <si>
    <t>Portfolio website</t>
  </si>
  <si>
    <t>Restaurant website</t>
  </si>
  <si>
    <t>$300-$500</t>
  </si>
  <si>
    <t>Real estate website</t>
  </si>
  <si>
    <t>$500-$800</t>
  </si>
  <si>
    <t>Medical/clinic website</t>
  </si>
  <si>
    <t>Law firm website</t>
  </si>
  <si>
    <t>$400-$700</t>
  </si>
  <si>
    <t>WordPress</t>
  </si>
  <si>
    <t>WordPress theme setup</t>
  </si>
  <si>
    <t>Theme customization</t>
  </si>
  <si>
    <t>Plugin setup</t>
  </si>
  <si>
    <t>Custom WP development</t>
  </si>
  <si>
    <t>WordPress migration</t>
  </si>
  <si>
    <t>Speed optimization</t>
  </si>
  <si>
    <t>Security setup</t>
  </si>
  <si>
    <t>WooCommerce store</t>
  </si>
  <si>
    <t>Shopify store setup</t>
  </si>
  <si>
    <t>Product upload (per product)</t>
  </si>
  <si>
    <t>$2-$5/prod</t>
  </si>
  <si>
    <t>Payment gateway setup</t>
  </si>
  <si>
    <t>Shipping setup</t>
  </si>
  <si>
    <t>Inventory management</t>
  </si>
  <si>
    <t>Custom Development</t>
  </si>
  <si>
    <t>Custom frontend (React/Vue)</t>
  </si>
  <si>
    <t>$800-$2000</t>
  </si>
  <si>
    <t>Custom backend (Node/Python)</t>
  </si>
  <si>
    <t>$1000-$3000</t>
  </si>
  <si>
    <t>Full-stack web app</t>
  </si>
  <si>
    <t>$1500-$5000</t>
  </si>
  <si>
    <t>API development</t>
  </si>
  <si>
    <t>$500-$1500</t>
  </si>
  <si>
    <t>Database design</t>
  </si>
  <si>
    <t>Third-party API integration</t>
  </si>
  <si>
    <t>$100-$300</t>
  </si>
  <si>
    <t>Mobile Apps</t>
  </si>
  <si>
    <t>iOS Development</t>
  </si>
  <si>
    <t>Simple iOS app (5-10 screens)</t>
  </si>
  <si>
    <t>$2000-$4000</t>
  </si>
  <si>
    <t>Medium iOS app (10-20 screens)</t>
  </si>
  <si>
    <t>$4000-$8000</t>
  </si>
  <si>
    <t>Complex iOS app (20+ screens)</t>
  </si>
  <si>
    <t>$8000-$15000</t>
  </si>
  <si>
    <t>Android Development</t>
  </si>
  <si>
    <t>Simple Android app</t>
  </si>
  <si>
    <t>Medium Android app</t>
  </si>
  <si>
    <t>Complex Android app</t>
  </si>
  <si>
    <t>Cross-Platform</t>
  </si>
  <si>
    <t>Simple cross-platform (Flutter/RN)</t>
  </si>
  <si>
    <t>$2500-$5000</t>
  </si>
  <si>
    <t>Medium cross-platform</t>
  </si>
  <si>
    <t>$5000-$10000</t>
  </si>
  <si>
    <t>Complex cross-platform</t>
  </si>
  <si>
    <t>$10000-$20000</t>
  </si>
  <si>
    <t>App Features</t>
  </si>
  <si>
    <t>User authentication</t>
  </si>
  <si>
    <t>Push notifications</t>
  </si>
  <si>
    <t>In-app payments</t>
  </si>
  <si>
    <t>Social login integration</t>
  </si>
  <si>
    <t>Chat/messaging feature</t>
  </si>
  <si>
    <t>$400-$800</t>
  </si>
  <si>
    <t>Map integration</t>
  </si>
  <si>
    <t>Camera/photo features</t>
  </si>
  <si>
    <t>Offline mode</t>
  </si>
  <si>
    <t>Wireframing</t>
  </si>
  <si>
    <t>Low-fidelity wireframes (per screen)</t>
  </si>
  <si>
    <t>High-fidelity wireframes</t>
  </si>
  <si>
    <t>User flow diagrams</t>
  </si>
  <si>
    <t>Sitemap design</t>
  </si>
  <si>
    <t>UI Design</t>
  </si>
  <si>
    <t>Mobile app UI (per screen)</t>
  </si>
  <si>
    <t>Web UI design (per page)</t>
  </si>
  <si>
    <t>$40-$70</t>
  </si>
  <si>
    <t>Dashboard UI design</t>
  </si>
  <si>
    <t>Design system creation</t>
  </si>
  <si>
    <t>$500-$1000</t>
  </si>
  <si>
    <t>Component library</t>
  </si>
  <si>
    <t>UX Design</t>
  </si>
  <si>
    <t>User research</t>
  </si>
  <si>
    <t>Competitor analysis</t>
  </si>
  <si>
    <t>User persona creation</t>
  </si>
  <si>
    <t>User journey mapping</t>
  </si>
  <si>
    <t>Usability testing</t>
  </si>
  <si>
    <t>UX audit</t>
  </si>
  <si>
    <t>Prototyping</t>
  </si>
  <si>
    <t>Interactive prototype (Figma)</t>
  </si>
  <si>
    <t>Clickable mockup</t>
  </si>
  <si>
    <t>Animated prototype</t>
  </si>
  <si>
    <t>SEO</t>
  </si>
  <si>
    <t>On-Page SEO</t>
  </si>
  <si>
    <t>SEO audit</t>
  </si>
  <si>
    <t>Keyword research</t>
  </si>
  <si>
    <t>Meta tags optimization</t>
  </si>
  <si>
    <t>Content optimization</t>
  </si>
  <si>
    <t>$30-$50/pg</t>
  </si>
  <si>
    <t>Internal linking strategy</t>
  </si>
  <si>
    <t>Schema markup</t>
  </si>
  <si>
    <t>Off-Page SEO</t>
  </si>
  <si>
    <t>Backlink building (monthly)</t>
  </si>
  <si>
    <t>Guest post outreach</t>
  </si>
  <si>
    <t>Local SEO setup</t>
  </si>
  <si>
    <t>Google My Business setup</t>
  </si>
  <si>
    <t>Technical SEO</t>
  </si>
  <si>
    <t>Site speed optimization</t>
  </si>
  <si>
    <t>Mobile optimization</t>
  </si>
  <si>
    <t>XML sitemap setup</t>
  </si>
  <si>
    <t>Robots.txt optimization</t>
  </si>
  <si>
    <t>Paid Ads</t>
  </si>
  <si>
    <t>Google Ads setup</t>
  </si>
  <si>
    <t>Google Ads mgmt (monthly)</t>
  </si>
  <si>
    <t>Facebook/Instagram Ads setup</t>
  </si>
  <si>
    <t>Facebook/Instagram Ads mgmt</t>
  </si>
  <si>
    <t>LinkedIn Ads management</t>
  </si>
  <si>
    <t>$250-$500</t>
  </si>
  <si>
    <t>TikTok Ads management</t>
  </si>
  <si>
    <t>YouTube Ads management</t>
  </si>
  <si>
    <t>Retargeting campaign setup</t>
  </si>
  <si>
    <t>Social Media Marketing</t>
  </si>
  <si>
    <t>Social media strategy</t>
  </si>
  <si>
    <t>Content calendar creation</t>
  </si>
  <si>
    <t>Community mgmt (monthly)</t>
  </si>
  <si>
    <t>Influencer outreach</t>
  </si>
  <si>
    <t>Social media audit</t>
  </si>
  <si>
    <t>Email Marketing</t>
  </si>
  <si>
    <t>Email campaign setup</t>
  </si>
  <si>
    <t>Email template design</t>
  </si>
  <si>
    <t>Email automation setup</t>
  </si>
  <si>
    <t>Newsletter design</t>
  </si>
  <si>
    <t>Email list segmentation</t>
  </si>
  <si>
    <t>A/B testing setup</t>
  </si>
  <si>
    <t>Blog Writing</t>
  </si>
  <si>
    <t>Blog post (500 words)</t>
  </si>
  <si>
    <t>$25-$45</t>
  </si>
  <si>
    <t>Blog post (1000 words)</t>
  </si>
  <si>
    <t>Blog post (2000+ words)</t>
  </si>
  <si>
    <t>SEO blog post</t>
  </si>
  <si>
    <t>Listicle article</t>
  </si>
  <si>
    <t>Website Content</t>
  </si>
  <si>
    <t>Homepage copy</t>
  </si>
  <si>
    <t>About us page</t>
  </si>
  <si>
    <t>Service page copy</t>
  </si>
  <si>
    <t>Product descriptions (per)</t>
  </si>
  <si>
    <t>FAQ page</t>
  </si>
  <si>
    <t>Copywriting</t>
  </si>
  <si>
    <t>Sales page copy</t>
  </si>
  <si>
    <t>Landing page copy</t>
  </si>
  <si>
    <t>Email copy (single)</t>
  </si>
  <si>
    <t>Email sequence (5 emails)</t>
  </si>
  <si>
    <t>Ad copy (per ad)</t>
  </si>
  <si>
    <t>Tagline/slogan</t>
  </si>
  <si>
    <t>Technical Writing</t>
  </si>
  <si>
    <t>User manual/guide</t>
  </si>
  <si>
    <t>API documentation</t>
  </si>
  <si>
    <t>Technical blog post</t>
  </si>
  <si>
    <t>White paper</t>
  </si>
  <si>
    <t>Case study</t>
  </si>
  <si>
    <t>Social Content</t>
  </si>
  <si>
    <t>Social media captions (20)</t>
  </si>
  <si>
    <t>LinkedIn posts (10)</t>
  </si>
  <si>
    <t>$50-$90</t>
  </si>
  <si>
    <t>Twitter/X threads</t>
  </si>
  <si>
    <t>Workflow Automation</t>
  </si>
  <si>
    <t>Zapier automation setup</t>
  </si>
  <si>
    <t>Make.com (Integromat) setup</t>
  </si>
  <si>
    <t>n8n automation setup</t>
  </si>
  <si>
    <t>Custom workflow design</t>
  </si>
  <si>
    <t>Chatbots</t>
  </si>
  <si>
    <t>WhatsApp bot development</t>
  </si>
  <si>
    <t>Website chatbot</t>
  </si>
  <si>
    <t>Facebook Messenger bot</t>
  </si>
  <si>
    <t>AI chatbot integration</t>
  </si>
  <si>
    <t>CRM &amp; Tools</t>
  </si>
  <si>
    <t>HubSpot setup</t>
  </si>
  <si>
    <t>Zoho CRM setup</t>
  </si>
  <si>
    <t>Salesforce basic setup</t>
  </si>
  <si>
    <t>Notion workspace setup</t>
  </si>
  <si>
    <t>Airtable database setup</t>
  </si>
  <si>
    <t>Monday.com setup</t>
  </si>
  <si>
    <t>Trello/Asana setup</t>
  </si>
  <si>
    <t>Spreadsheets &amp; Data</t>
  </si>
  <si>
    <t>Excel dashboard</t>
  </si>
  <si>
    <t>Google Sheets automation</t>
  </si>
  <si>
    <t>Data analysis &amp; reporting</t>
  </si>
  <si>
    <t>$100-$250</t>
  </si>
  <si>
    <t>Financial model/spreadsheet</t>
  </si>
  <si>
    <t>Inventory tracking system</t>
  </si>
  <si>
    <t>AI/ML Services</t>
  </si>
  <si>
    <t>AI Integration</t>
  </si>
  <si>
    <t>ChatGPT/OpenAI API integration</t>
  </si>
  <si>
    <t>AI chatbot development</t>
  </si>
  <si>
    <t>AI content generation setup</t>
  </si>
  <si>
    <t>AI image generation integration</t>
  </si>
  <si>
    <t>Machine Learning</t>
  </si>
  <si>
    <t>ML model development</t>
  </si>
  <si>
    <t>Data preprocessing</t>
  </si>
  <si>
    <t>Predictive analytics</t>
  </si>
  <si>
    <t>Recommendation system</t>
  </si>
  <si>
    <t>Data Science</t>
  </si>
  <si>
    <t>Data analysis</t>
  </si>
  <si>
    <t>Data viz dashboard</t>
  </si>
  <si>
    <t>Statistical analysis</t>
  </si>
  <si>
    <t>$300-$700</t>
  </si>
  <si>
    <t>Cloud Services</t>
  </si>
  <si>
    <t>AWS Services</t>
  </si>
  <si>
    <t>AWS account setup</t>
  </si>
  <si>
    <t>EC2 instance setup</t>
  </si>
  <si>
    <t>S3 storage setup</t>
  </si>
  <si>
    <t>Lambda functions</t>
  </si>
  <si>
    <t>RDS database setup</t>
  </si>
  <si>
    <t>Other Cloud</t>
  </si>
  <si>
    <t>Google Cloud setup</t>
  </si>
  <si>
    <t>Azure setup</t>
  </si>
  <si>
    <t>DigitalOcean setup</t>
  </si>
  <si>
    <t>Heroku deployment</t>
  </si>
  <si>
    <t>Vercel/Netlify deployment</t>
  </si>
  <si>
    <t>CI/CD pipeline setup</t>
  </si>
  <si>
    <t>Docker containerization</t>
  </si>
  <si>
    <t>Kubernetes setup</t>
  </si>
  <si>
    <t>GitHub Actions setup</t>
  </si>
  <si>
    <t>Server monitoring setup</t>
  </si>
  <si>
    <t>Maintenance</t>
  </si>
  <si>
    <t>Website Maintenance</t>
  </si>
  <si>
    <t>Basic maintenance (monthly)</t>
  </si>
  <si>
    <t>$50-$100/mo</t>
  </si>
  <si>
    <t>Pro maintenance (monthly)</t>
  </si>
  <si>
    <t>$150-$250/mo</t>
  </si>
  <si>
    <t>Emergency fixes (per hour)</t>
  </si>
  <si>
    <t>$13/hr</t>
  </si>
  <si>
    <t>Security updates</t>
  </si>
  <si>
    <t>Plugin/theme updates</t>
  </si>
  <si>
    <t>Backup management</t>
  </si>
  <si>
    <t>$30-$50/mo</t>
  </si>
  <si>
    <t>App Maintenance</t>
  </si>
  <si>
    <t>Bug fixes (per hour)</t>
  </si>
  <si>
    <t>Feature updates</t>
  </si>
  <si>
    <t>$15/hr</t>
  </si>
  <si>
    <t>App store updates</t>
  </si>
  <si>
    <t>Performance optimization</t>
  </si>
  <si>
    <t>Basic SMM (monthly)</t>
  </si>
  <si>
    <t>Pro SMM (monthly)</t>
  </si>
  <si>
    <t>$300-$500/mo</t>
  </si>
  <si>
    <t>Full SMM (monthly)</t>
  </si>
  <si>
    <t>$500-$800/mo</t>
  </si>
  <si>
    <t>Tech Consulting</t>
  </si>
  <si>
    <t>Discovery call (1 hour)</t>
  </si>
  <si>
    <t>Technical architecture review</t>
  </si>
  <si>
    <t>Technology stack recommendation</t>
  </si>
  <si>
    <t>Code review/audit</t>
  </si>
  <si>
    <t>Security audit</t>
  </si>
  <si>
    <t>Business Consulting</t>
  </si>
  <si>
    <t>Digital strategy session</t>
  </si>
  <si>
    <t>Startup tech roadmap</t>
  </si>
  <si>
    <t>MVP planning</t>
  </si>
  <si>
    <t>Product strategy</t>
  </si>
  <si>
    <t>Training</t>
  </si>
  <si>
    <t>One-on-one training (per hr)</t>
  </si>
  <si>
    <t>$12/hr</t>
  </si>
  <si>
    <t>Team training session</t>
  </si>
  <si>
    <t>Tool/software training</t>
  </si>
  <si>
    <t>Video tutorial creation</t>
  </si>
  <si>
    <t>Admin Services</t>
  </si>
  <si>
    <t>Data Entry</t>
  </si>
  <si>
    <t>Basic data entry (per hour)</t>
  </si>
  <si>
    <t>$5/hr</t>
  </si>
  <si>
    <t>Data scraping</t>
  </si>
  <si>
    <t>$6/hr</t>
  </si>
  <si>
    <t>Data cleaning</t>
  </si>
  <si>
    <t>Spreadsheet creation</t>
  </si>
  <si>
    <t>$20-$50</t>
  </si>
  <si>
    <t>PDF to Excel conversion</t>
  </si>
  <si>
    <t>Document Services</t>
  </si>
  <si>
    <t>Document formatting</t>
  </si>
  <si>
    <t>$10-$30</t>
  </si>
  <si>
    <t>Resume/CV design</t>
  </si>
  <si>
    <t>Cover letter writing</t>
  </si>
  <si>
    <t>Report formatting</t>
  </si>
  <si>
    <t>Email management (monthly)</t>
  </si>
  <si>
    <t>$100-$200/mo</t>
  </si>
  <si>
    <t>Calendar management</t>
  </si>
  <si>
    <t>Research tasks (per hour)</t>
  </si>
  <si>
    <t>$7/hr</t>
  </si>
  <si>
    <t>Travel arrangements</t>
  </si>
  <si>
    <t>Personal assistance (monthly)</t>
  </si>
  <si>
    <t>$200-$400/mo</t>
  </si>
  <si>
    <t>═══════════════════════════════════════════════════</t>
  </si>
  <si>
    <t>📊 COMPLETE SERVICES SUMMARY</t>
  </si>
  <si>
    <t>MAIN SERVICES</t>
  </si>
  <si>
    <t>SUB-SERVICES</t>
  </si>
  <si>
    <t>58+</t>
  </si>
  <si>
    <t>26+</t>
  </si>
  <si>
    <t>35+</t>
  </si>
  <si>
    <t>20+</t>
  </si>
  <si>
    <t>21+</t>
  </si>
  <si>
    <t>36+</t>
  </si>
  <si>
    <t>27+</t>
  </si>
  <si>
    <t>23+</t>
  </si>
  <si>
    <t>14+</t>
  </si>
  <si>
    <t>18+</t>
  </si>
  <si>
    <t>16+</t>
  </si>
  <si>
    <t>17+</t>
  </si>
  <si>
    <t>60 Main Services</t>
  </si>
  <si>
    <t>327+ Sub-Services</t>
  </si>
  <si>
    <t>Sheet</t>
  </si>
  <si>
    <t>Partner directory</t>
  </si>
  <si>
    <t>Student platform revenue</t>
  </si>
  <si>
    <t>Clinic SaaS revenue</t>
  </si>
  <si>
    <t>Total Services</t>
  </si>
  <si>
    <t>$5 - $15</t>
  </si>
  <si>
    <t>Monthly Target</t>
  </si>
  <si>
    <t>PKR Equivalent</t>
  </si>
  <si>
    <t>Rate/hr</t>
  </si>
  <si>
    <t>PKR/hr</t>
  </si>
  <si>
    <t>BUDGET</t>
  </si>
  <si>
    <t>Same day</t>
  </si>
  <si>
    <t>2-5 days</t>
  </si>
  <si>
    <t>1-3 weeks</t>
  </si>
  <si>
    <t>PREMIUM</t>
  </si>
  <si>
    <t>4-12 weeks</t>
  </si>
  <si>
    <t>Type</t>
  </si>
  <si>
    <t>Target Market</t>
  </si>
  <si>
    <t>MegiCode Services</t>
  </si>
  <si>
    <t>Agency</t>
  </si>
  <si>
    <t>₨341,940</t>
  </si>
  <si>
    <t>Global SMBs</t>
  </si>
  <si>
    <t>B2C Platform</t>
  </si>
  <si>
    <t>₨424,506</t>
  </si>
  <si>
    <t>Pakistani Students</t>
  </si>
  <si>
    <t>B2B SaaS</t>
  </si>
  <si>
    <t>BUILDING</t>
  </si>
  <si>
    <t>₨266,602</t>
  </si>
  <si>
    <t>← Dashboard</t>
  </si>
  <si>
    <t>SELECT TIER:</t>
  </si>
  <si>
    <t>Rate:</t>
  </si>
  <si>
    <t>MEGICODE BUSINESS DASHBOARD</t>
  </si>
  <si>
    <t>Service Pricing &amp; Business Overview</t>
  </si>
  <si>
    <t>QUICK NAVIGATION</t>
  </si>
  <si>
    <t>Link</t>
  </si>
  <si>
    <t>Complete Services</t>
  </si>
  <si>
    <t>All 327+ services catalog</t>
  </si>
  <si>
    <t>GO →</t>
  </si>
  <si>
    <t>Full Services</t>
  </si>
  <si>
    <t>Master pricing ($5-$15/hr)</t>
  </si>
  <si>
    <t>Pricing Calculator</t>
  </si>
  <si>
    <t>Project cost estimator</t>
  </si>
  <si>
    <t>Outsource Network</t>
  </si>
  <si>
    <t>327+</t>
  </si>
  <si>
    <t>Hourly Rate</t>
  </si>
  <si>
    <t>Categories</t>
  </si>
  <si>
    <t>USD/PKR Rate</t>
  </si>
  <si>
    <t>PRICING TIERS</t>
  </si>
  <si>
    <t>Project Range</t>
  </si>
  <si>
    <t>Quick tasks, simple edits</t>
  </si>
  <si>
    <t>Individuals</t>
  </si>
  <si>
    <t>Logo, branding, basic sites</t>
  </si>
  <si>
    <t>Custom websites, UI/UX</t>
  </si>
  <si>
    <t>QUICK TOOLS</t>
  </si>
  <si>
    <t>Currency Converter</t>
  </si>
  <si>
    <t>Enter USD:</t>
  </si>
  <si>
    <t>PKR Result:</t>
  </si>
  <si>
    <t>QUOTE CALCULATOR</t>
  </si>
  <si>
    <t>Rate $/hr</t>
  </si>
  <si>
    <t>Total</t>
  </si>
  <si>
    <t>PKR:</t>
  </si>
  <si>
    <t>MEGICODE PRODUCTS</t>
  </si>
  <si>
    <t>TOTAL</t>
  </si>
  <si>
    <t>₨1,033,048</t>
  </si>
  <si>
    <t>INSTRUCTIONS</t>
  </si>
  <si>
    <t>• Yellow cells are editable inputs — change values to see calculations update automatically</t>
  </si>
  <si>
    <t>• Green cells show calculated results — do not edit these</t>
  </si>
  <si>
    <t>• Use navigation links above to access detailed sheets</t>
  </si>
  <si>
    <t>• All prices in USD ($) with PKR (₨) equivalents at rate of 278</t>
  </si>
  <si>
    <t>MegiCode.com | contact@megicode.com | Version 2.0</t>
  </si>
  <si>
    <t>MEGICODE SERVICE CATALOG</t>
  </si>
  <si>
    <t>Complete Services &amp; Pricing | $5-$15/hr Tiered Structure</t>
  </si>
  <si>
    <t>1. GRAPHIC DESIGN &amp; CREATIVE</t>
  </si>
  <si>
    <t>2. VIDEO &amp; MOTION GRAPHICS</t>
  </si>
  <si>
    <t>3. WEB DEVELOPMENT</t>
  </si>
  <si>
    <t>4. MOBILE APP DEVELOPMENT</t>
  </si>
  <si>
    <t>5. UI/UX DESIGN</t>
  </si>
  <si>
    <t>6. DIGITAL MARKETING</t>
  </si>
  <si>
    <t>7. CONTENT CREATION &amp; WRITING</t>
  </si>
  <si>
    <t>8. BUSINESS TOOLS &amp; AUTOMATION</t>
  </si>
  <si>
    <t>9. AI &amp; ADVANCED TECHNOLOGY</t>
  </si>
  <si>
    <t>10. CLOUD &amp; DEVOPS</t>
  </si>
  <si>
    <t>11. SUPPORT &amp; MAINTENANCE</t>
  </si>
  <si>
    <t>12. CONSULTING &amp; STRATEGY</t>
  </si>
  <si>
    <t>13. ADMIN &amp; VIRTUAL ASSISTANT</t>
  </si>
  <si>
    <t>MEGICODE MASTER PRICING</t>
  </si>
  <si>
    <t>Tiered Hourly Rates: $5-$15 | In-House Delivery | Quality Guaranteed</t>
  </si>
  <si>
    <t>• NO OUTSOURCING HEADACHE</t>
  </si>
  <si>
    <t>• FLEXIBLE FOR ALL CLIENTS</t>
  </si>
  <si>
    <t>• SUSTAINABLE INCOME</t>
  </si>
  <si>
    <t>• COMPETITIVE ADVANTAGE</t>
  </si>
  <si>
    <t>• UPSELL PATH</t>
  </si>
  <si>
    <t>• NO PLATFORM FEES</t>
  </si>
  <si>
    <t>• DIVERSE REVENUE</t>
  </si>
  <si>
    <t>I.  RECURRING SERVICES (Monthly Retainers) — Sustainable Income!</t>
  </si>
  <si>
    <t>A. BUDGET TIER ($5-$7/hr) — Quick Tasks, Simple Work</t>
  </si>
  <si>
    <t>B. STANDARD TIER ($8-$10/hr) — Professional Work, Medium Complexity</t>
  </si>
  <si>
    <t>C. PROFESSIONAL TIER ($11-$13/hr) — Complex Work, Higher Skill</t>
  </si>
  <si>
    <t>D. PREMIUM TIER ($14-$15/hr) — Advanced Tech, Specialized Skills</t>
  </si>
  <si>
    <t>J.  MONTHLY RECURRING REVENUE (MRR) CALCULATOR</t>
  </si>
  <si>
    <t>L.  SERVICE POLICIES &amp; TERMS (Professional Standards)</t>
  </si>
  <si>
    <t>Minimum Order</t>
  </si>
  <si>
    <t>Revisions Included</t>
  </si>
  <si>
    <t>M.  COMPLETE SERVICE CATALOG SUMMARY</t>
  </si>
  <si>
    <t>Budget Tier Services</t>
  </si>
  <si>
    <t>Standard Tier Services</t>
  </si>
  <si>
    <t>Professional Tier Services</t>
  </si>
  <si>
    <t>Premium Tier Services</t>
  </si>
  <si>
    <t>Recurring Services</t>
  </si>
  <si>
    <t>TOTAL SERVICES</t>
  </si>
  <si>
    <t>ESTIMATED MONTHLY REVENUE (With Recurring):</t>
  </si>
  <si>
    <t>E. TIER SUMMARY &amp; VALUE PROPOSITION</t>
  </si>
  <si>
    <t>F. WHY $5-$15/hr RANGE WORKS</t>
  </si>
  <si>
    <t>G. MONTHLY INCOME CALCULATOR</t>
  </si>
  <si>
    <t>H. RECOMMENDED SERVICE PACKAGES</t>
  </si>
  <si>
    <t>MEGICODE PRICING CALCULATOR</t>
  </si>
  <si>
    <t>Project Cost Estimator | USD Standard | PKR Equivalence | Tiered Rates: $5-$15/hr</t>
  </si>
  <si>
    <t>Professional Network | Partners | Freelancers | Agencies</t>
  </si>
  <si>
    <t>START WITH TRUST: Use class fellows first - they understand your standards and communication style</t>
  </si>
  <si>
    <t>MARGIN PROTECTION: Maintain 40%+ margin when outsourcing - if you pay $20/hr, charge $50+/hr</t>
  </si>
  <si>
    <t>QUALITY CONTROL: Never skip code reviews or design reviews - your reputation depends on output</t>
  </si>
  <si>
    <t>IN-HOUSE PRIORITY: Keep consulting &amp; strategy in-house (85% margin) - outsource heavy dev (50% margin)</t>
  </si>
  <si>
    <t>GRADUAL SCALE: Test with small projects before committing to larger work</t>
  </si>
  <si>
    <t>DOCUMENTATION: Create templates for briefs, contracts, and feedback to streamline process</t>
  </si>
  <si>
    <t>LONG-TERM PARTNERS: Build relationships - loyal partners &gt; one-off cheap labor</t>
  </si>
  <si>
    <t>CAMPUSAXIS.PK — REVENUE MODEL</t>
  </si>
  <si>
    <t>Student Academic Platform | Past Papers | GPA Calculator | Faculty Reviews</t>
  </si>
  <si>
    <t>Product by MegiCode.com | B2C Student Platform | 7 COMSATS Campuses + Expanding</t>
  </si>
  <si>
    <t>AESTHETICSPLACE.PK — SAAS CLINIC MANAGEMENT</t>
  </si>
  <si>
    <t>Aesthetic &amp; Dermatology Clinic Software | Patient Management | Appointments | Billing</t>
  </si>
  <si>
    <t>Product by MegiCode.com | Upgrading to Full SaaS Model</t>
  </si>
  <si>
    <t>Client Type:</t>
  </si>
  <si>
    <t>Complexity:</t>
  </si>
  <si>
    <t>Urgency:</t>
  </si>
  <si>
    <t>NORMAL</t>
  </si>
  <si>
    <t>Discount %:</t>
  </si>
  <si>
    <t>Discount:</t>
  </si>
  <si>
    <t>Option</t>
  </si>
  <si>
    <t>ECONOMY</t>
  </si>
  <si>
    <t>Logo Animation</t>
  </si>
  <si>
    <t>Landing Page</t>
  </si>
  <si>
    <t>Medium App</t>
  </si>
  <si>
    <t>Wireframes</t>
  </si>
  <si>
    <t>CRM Setup</t>
  </si>
  <si>
    <t>Price Estimator</t>
  </si>
  <si>
    <t>Interactive quote generator</t>
  </si>
  <si>
    <t>Complexity Adj:</t>
  </si>
  <si>
    <t>Urgency Adj:</t>
  </si>
  <si>
    <t>Profit $</t>
  </si>
  <si>
    <t>Google Ads Setup</t>
  </si>
  <si>
    <t>YOUR PROFIT:</t>
  </si>
  <si>
    <t>Cross-Platform App</t>
  </si>
  <si>
    <t>Chatbot Development</t>
  </si>
  <si>
    <t>PROFIT CALCULATOR</t>
  </si>
  <si>
    <t>QUICK CURRENCY CONVERTER</t>
  </si>
  <si>
    <t>Cost:</t>
  </si>
  <si>
    <t>Quote:</t>
  </si>
  <si>
    <t>Facebook Ads Setup</t>
  </si>
  <si>
    <t>COLOR GUIDE</t>
  </si>
  <si>
    <t>YOUR COST:</t>
  </si>
  <si>
    <t>Quote PKR</t>
  </si>
  <si>
    <t>STANDARD (40%)</t>
  </si>
  <si>
    <t>1 USD = 278 PKR</t>
  </si>
  <si>
    <t>MEGICODE SMART PRICE ESTIMATOR</t>
  </si>
  <si>
    <t>Service Type:</t>
  </si>
  <si>
    <t>STEP 2: PROJECT REQUIREMENTS</t>
  </si>
  <si>
    <t>Revisions Included:</t>
  </si>
  <si>
    <t>Content Provided:</t>
  </si>
  <si>
    <t>STEP 3: PRICING FACTORS</t>
  </si>
  <si>
    <t>Business Website (5-10pg)</t>
  </si>
  <si>
    <t>Business Website (10-20pg)</t>
  </si>
  <si>
    <t>WordPress Site</t>
  </si>
  <si>
    <t>Portfolio Website</t>
  </si>
  <si>
    <t>Simple App (iOS/Android)</t>
  </si>
  <si>
    <t>Explainer Animation</t>
  </si>
  <si>
    <t>Website UI Design</t>
  </si>
  <si>
    <t>Excel Dashboard</t>
  </si>
  <si>
    <t>Automation Setup</t>
  </si>
  <si>
    <t>Data Analysis</t>
  </si>
  <si>
    <t>STEP 4: AUTOMATIC CALCULATION</t>
  </si>
  <si>
    <t>+ Setup Fee:</t>
  </si>
  <si>
    <t>+ Feature Hours:</t>
  </si>
  <si>
    <t>TOTAL HOURS:</t>
  </si>
  <si>
    <t>STEP 5: CLIENT QUOTE OPTIONS</t>
  </si>
  <si>
    <t>Quote USD</t>
  </si>
  <si>
    <t>Your Profit</t>
  </si>
  <si>
    <t>STEP 6: SELECT YOUR QUOTE</t>
  </si>
  <si>
    <t>Choose Quote:</t>
  </si>
  <si>
    <t>FINAL QUOTE:</t>
  </si>
  <si>
    <t>Est. Working Days:</t>
  </si>
  <si>
    <t>days (at 6 hrs/day)</t>
  </si>
  <si>
    <t>Est. Weeks:</t>
  </si>
  <si>
    <t>weeks</t>
  </si>
  <si>
    <t>Delivery Date:</t>
  </si>
  <si>
    <t>Your Quote (selected):</t>
  </si>
  <si>
    <t>Quote Range:</t>
  </si>
  <si>
    <t>Their Quote</t>
  </si>
  <si>
    <t>You Save</t>
  </si>
  <si>
    <t>MegiCode (You)</t>
  </si>
  <si>
    <t>Select Service → Configure Options → Get Instant Quote</t>
  </si>
  <si>
    <t>STEP 1: SELECT YOUR SERVICE</t>
  </si>
  <si>
    <t>Service Category:</t>
  </si>
  <si>
    <t>Standard revisions</t>
  </si>
  <si>
    <t>YES = client provides content</t>
  </si>
  <si>
    <t>YES/NO</t>
  </si>
  <si>
    <t>Integrations:</t>
  </si>
  <si>
    <t>APIs, payments, etc.</t>
  </si>
  <si>
    <t>SIMPLE / STANDARD / COMPLEX / EXPERT</t>
  </si>
  <si>
    <t>RELAXED / NORMAL / RUSH / URGENT</t>
  </si>
  <si>
    <t>+ Page/Screen Hours:</t>
  </si>
  <si>
    <t>ECONOMY (25%)</t>
  </si>
  <si>
    <t>PREMIUM (55%)</t>
  </si>
  <si>
    <t>ENTERPRISE (65%)</t>
  </si>
  <si>
    <t>Service Name</t>
  </si>
  <si>
    <t>TIMELINE &amp; DELIVERY</t>
  </si>
  <si>
    <t>PAYMENT TERMS</t>
  </si>
  <si>
    <t>Payment</t>
  </si>
  <si>
    <t>Percentage</t>
  </si>
  <si>
    <t>Amount USD</t>
  </si>
  <si>
    <t>Amount PKR</t>
  </si>
  <si>
    <t>25% Milestone</t>
  </si>
  <si>
    <t>25% Delivery</t>
  </si>
  <si>
    <t>MARKET COMPARISON</t>
  </si>
  <si>
    <t>BEST VALUE!</t>
  </si>
  <si>
    <t>Your Cost</t>
  </si>
  <si>
    <t>YELLOW = Input cells (edit these)</t>
  </si>
  <si>
    <t>LIGHT GREEN = Calculated results</t>
  </si>
  <si>
    <t>DARK GREEN = Final quote values</t>
  </si>
  <si>
    <t>PRICE RANGE FOR NEGOTIATION</t>
  </si>
  <si>
    <t>Minimum (tight budget):</t>
  </si>
  <si>
    <t>Maximum (premium):</t>
  </si>
  <si>
    <t>Quote Option</t>
  </si>
  <si>
    <t>Client Pays</t>
  </si>
  <si>
    <t>Profit PKR</t>
  </si>
  <si>
    <t>Print Design (Flyer)</t>
  </si>
  <si>
    <t>Brochure Design</t>
  </si>
  <si>
    <t>Short-Form Video (60s)</t>
  </si>
  <si>
    <t>Long-Form Video (5-10min)</t>
  </si>
  <si>
    <t>Video Support (Subtitles)</t>
  </si>
  <si>
    <t>App Feature Add-on</t>
  </si>
  <si>
    <t>Prototype (Interactive)</t>
  </si>
  <si>
    <t>UX Research</t>
  </si>
  <si>
    <t>SEO Setup (On-Page)</t>
  </si>
  <si>
    <t>SEO (Off-Page Monthly)</t>
  </si>
  <si>
    <t>Social Media Strategy</t>
  </si>
  <si>
    <t>Blog Posts (5 articles)</t>
  </si>
  <si>
    <t>Website Copy (per page)</t>
  </si>
  <si>
    <t>Product Descriptions (10)</t>
  </si>
  <si>
    <t>Sales Copywriting</t>
  </si>
  <si>
    <t>Machine Learning Model</t>
  </si>
  <si>
    <t>AWS/Cloud Setup</t>
  </si>
  <si>
    <t>DevOps &amp; CI/CD</t>
  </si>
  <si>
    <t>Tech Consulting (hourly)</t>
  </si>
  <si>
    <t>Business Strategy</t>
  </si>
  <si>
    <t>Data Entry (hourly)</t>
  </si>
  <si>
    <t>Virtual Assistant (monthly)</t>
  </si>
  <si>
    <t>$5-$6</t>
  </si>
  <si>
    <t>$7-$9</t>
  </si>
  <si>
    <t>$10-$12</t>
  </si>
  <si>
    <t>$12-$15</t>
  </si>
  <si>
    <t>$5-$6/hr</t>
  </si>
  <si>
    <t>₨1,390-1,668/hr</t>
  </si>
  <si>
    <t>$7-$9/hr</t>
  </si>
  <si>
    <t>₨1,946-2,502/hr</t>
  </si>
  <si>
    <t>$10-$12/hr</t>
  </si>
  <si>
    <t>₨2,780-3,336/hr</t>
  </si>
  <si>
    <t>$12-$15/hr</t>
  </si>
  <si>
    <t>₨3,336-4,170/hr</t>
  </si>
  <si>
    <t>₨1,390-1,668</t>
  </si>
  <si>
    <t>₨1,946-2,502</t>
  </si>
  <si>
    <t>₨2,780-3,336</t>
  </si>
  <si>
    <t>₨3,336-4,170</t>
  </si>
  <si>
    <t>Fiverr Top Seller (Intl)</t>
  </si>
  <si>
    <t>$20-35/hr</t>
  </si>
  <si>
    <t>Upwork US Agency</t>
  </si>
  <si>
    <t>$40-75/hr</t>
  </si>
  <si>
    <t>$15-25/hr</t>
  </si>
  <si>
    <t>$10/hr</t>
  </si>
  <si>
    <t>Pakistan Upwork (Top Rated)</t>
  </si>
  <si>
    <t>→ Pakistan Upwork competitive: $5-$15/hr</t>
  </si>
  <si>
    <t>Min Hrs</t>
  </si>
  <si>
    <t>Hrs/Page</t>
  </si>
  <si>
    <t>Hrs/Feature</t>
  </si>
  <si>
    <t>Hourly Rate ($/hr):</t>
  </si>
  <si>
    <t>Minimum Hours:</t>
  </si>
  <si>
    <t>Pricing Type:</t>
  </si>
  <si>
    <t>💡 TIP: Right-click 'GO →' cells → Link → Select sheet to enable click navigation</t>
  </si>
  <si>
    <t>H. BEST PRICING MODELS FOR AESTHETICSPLACE.PK (Real Market Analysis)</t>
  </si>
  <si>
    <t>Based on Global Market Research | SaaS vs Custom Software | What Competitors Use</t>
  </si>
  <si>
    <t>PRICING MODEL COMPARISON (What Real Market Uses)</t>
  </si>
  <si>
    <t>Model</t>
  </si>
  <si>
    <t>How It Works</t>
  </si>
  <si>
    <t>Used By</t>
  </si>
  <si>
    <t>Your Price Range $</t>
  </si>
  <si>
    <t>PKR Range</t>
  </si>
  <si>
    <t>Pros</t>
  </si>
  <si>
    <t>Cons</t>
  </si>
  <si>
    <t>Recommended?</t>
  </si>
  <si>
    <t>PER USER/SEAT</t>
  </si>
  <si>
    <t>Monthly fee per practitioner</t>
  </si>
  <si>
    <t>Pabau ($49-$500/mo), Cliniko</t>
  </si>
  <si>
    <t>Multi-doctor clinics</t>
  </si>
  <si>
    <t>$11-$90/user</t>
  </si>
  <si>
    <t>₨3,058-25,020</t>
  </si>
  <si>
    <t>Easy to understand, scalable</t>
  </si>
  <si>
    <t>Discourages adding users</t>
  </si>
  <si>
    <t>YES ✓</t>
  </si>
  <si>
    <t>TIERED SUBSCRIPTION</t>
  </si>
  <si>
    <t>Fixed plans (Starter/Growth/Pro)</t>
  </si>
  <si>
    <t>Fresha, SimplePractice</t>
  </si>
  <si>
    <t>All clinic sizes</t>
  </si>
  <si>
    <t>$11-$180/mo</t>
  </si>
  <si>
    <t>₨3,058-50,040</t>
  </si>
  <si>
    <t>Predictable costs, clear upgrades</t>
  </si>
  <si>
    <t>May pay for unused features</t>
  </si>
  <si>
    <t>PER TRANSACTION</t>
  </si>
  <si>
    <t>Fee per treatment/booking</t>
  </si>
  <si>
    <t>Some booking systems</t>
  </si>
  <si>
    <t>High-volume clinics</t>
  </si>
  <si>
    <t>$0.05-$0.50/tx</t>
  </si>
  <si>
    <t>₨14-139</t>
  </si>
  <si>
    <t>Pay only for usage</t>
  </si>
  <si>
    <t>Unpredictable costs</t>
  </si>
  <si>
    <t>FLAT FEE (Per Clinic)</t>
  </si>
  <si>
    <t>Single monthly fee unlimited users</t>
  </si>
  <si>
    <t>Generic CRMs</t>
  </si>
  <si>
    <t>Single location clinics</t>
  </si>
  <si>
    <t>$50-$200/mo</t>
  </si>
  <si>
    <t>₨13,900-55,600</t>
  </si>
  <si>
    <t>Simple budgeting</t>
  </si>
  <si>
    <t>Doesn't scale well</t>
  </si>
  <si>
    <t>HYBRID (Best Practice)</t>
  </si>
  <si>
    <t>Base subscription + per-use fees</t>
  </si>
  <si>
    <t>AestheticTrack, Pabau Pro</t>
  </si>
  <si>
    <t>Growth-focused clinics</t>
  </si>
  <si>
    <t>$25-$100 + usage</t>
  </si>
  <si>
    <t>₨6,950-27,800+</t>
  </si>
  <si>
    <t>Balanced risk/reward</t>
  </si>
  <si>
    <t>Slightly complex</t>
  </si>
  <si>
    <t>BEST ✓✓</t>
  </si>
  <si>
    <t>CUSTOM SOFTWARE</t>
  </si>
  <si>
    <t>One-time build + maintenance</t>
  </si>
  <si>
    <t>Large hospital chains</t>
  </si>
  <si>
    <t>Unique workflows only</t>
  </si>
  <si>
    <t>$5,000-$50,000+</t>
  </si>
  <si>
    <t>₨13.9L-1.39Cr</t>
  </si>
  <si>
    <t>Full control, ownership</t>
  </si>
  <si>
    <t>High cost, slow, risky</t>
  </si>
  <si>
    <t>SELL AS OPTION</t>
  </si>
  <si>
    <t>GLOBAL COMPETITOR PRICING (Real Market Data 2024-2025)</t>
  </si>
  <si>
    <t>Pricing Model</t>
  </si>
  <si>
    <t>Starting Price</t>
  </si>
  <si>
    <t>Per User Fee</t>
  </si>
  <si>
    <t>Your Advantage</t>
  </si>
  <si>
    <t>Savings vs You</t>
  </si>
  <si>
    <t>UK/Global</t>
  </si>
  <si>
    <t>Per User Tiered</t>
  </si>
  <si>
    <t>$49-$500/mo</t>
  </si>
  <si>
    <t>₨13,622-139,000</t>
  </si>
  <si>
    <t>$49/user</t>
  </si>
  <si>
    <t>Local support, Urdu, PKR billing</t>
  </si>
  <si>
    <t>50-75%</t>
  </si>
  <si>
    <t>Cliniko</t>
  </si>
  <si>
    <t>Australia/Global</t>
  </si>
  <si>
    <t>Tiered Plans</t>
  </si>
  <si>
    <t>$45-$259/mo</t>
  </si>
  <si>
    <t>₨12,510-71,902</t>
  </si>
  <si>
    <t>$45 base</t>
  </si>
  <si>
    <t>Aesthetic-specific features</t>
  </si>
  <si>
    <t>55-70%</t>
  </si>
  <si>
    <t>Per User</t>
  </si>
  <si>
    <t>$39-$149/mo</t>
  </si>
  <si>
    <t>₨10,842-41,422</t>
  </si>
  <si>
    <t>$39/user</t>
  </si>
  <si>
    <t>Pakistan-focused, cheaper</t>
  </si>
  <si>
    <t>60-75%</t>
  </si>
  <si>
    <t>AestheticTrack</t>
  </si>
  <si>
    <t>US/UK</t>
  </si>
  <si>
    <t>Tiered + Usage</t>
  </si>
  <si>
    <t>$99-$500/mo</t>
  </si>
  <si>
    <t>₨27,522-139,000</t>
  </si>
  <si>
    <t>Varies</t>
  </si>
  <si>
    <t>Local market, lower price</t>
  </si>
  <si>
    <t>75-85%</t>
  </si>
  <si>
    <t>Fresha</t>
  </si>
  <si>
    <t>Freemium + Commission</t>
  </si>
  <si>
    <t>Free-$50 + %</t>
  </si>
  <si>
    <t>Free-₨13,900+%</t>
  </si>
  <si>
    <t>Transaction %</t>
  </si>
  <si>
    <t>No commission model</t>
  </si>
  <si>
    <t>₨13,900-27,800</t>
  </si>
  <si>
    <t>$14-50/user</t>
  </si>
  <si>
    <t>Clinic-specific features</t>
  </si>
  <si>
    <t>50-65%</t>
  </si>
  <si>
    <t>✅ RECOMMENDED PRICING STRATEGY FOR AESTHETICSPLACE.PK</t>
  </si>
  <si>
    <t>STRATEGY 1: SELL AS SAAS (Primary - Recurring Revenue)</t>
  </si>
  <si>
    <t>Target</t>
  </si>
  <si>
    <t>₨3,058</t>
  </si>
  <si>
    <t>₨36,696</t>
  </si>
  <si>
    <t>Core modules only</t>
  </si>
  <si>
    <t>Solo practitioners</t>
  </si>
  <si>
    <t>₨6,950</t>
  </si>
  <si>
    <t>₨83,400</t>
  </si>
  <si>
    <t>Core + Photos + Reports</t>
  </si>
  <si>
    <t>Small clinics</t>
  </si>
  <si>
    <t>₨11,954</t>
  </si>
  <si>
    <t>₨143,448</t>
  </si>
  <si>
    <t>All modules + Marketing</t>
  </si>
  <si>
    <t>Medium clinics</t>
  </si>
  <si>
    <t>₨25,020</t>
  </si>
  <si>
    <t>₨300,240</t>
  </si>
  <si>
    <t>All + API + Multi-location</t>
  </si>
  <si>
    <t>Clinic chains</t>
  </si>
  <si>
    <t>25+</t>
  </si>
  <si>
    <t>₨50,040</t>
  </si>
  <si>
    <t>₨600,480</t>
  </si>
  <si>
    <t>White-label + Custom</t>
  </si>
  <si>
    <t>Franchise networks</t>
  </si>
  <si>
    <t>STRATEGY 2: SELL AS CUSTOM SOFTWARE (One-Time Projects)</t>
  </si>
  <si>
    <t>Scope</t>
  </si>
  <si>
    <t>Development $</t>
  </si>
  <si>
    <t>Development ₨</t>
  </si>
  <si>
    <t>Annual Maint $</t>
  </si>
  <si>
    <t>Maint ₨ (15%)</t>
  </si>
  <si>
    <t>MegiCode Margin</t>
  </si>
  <si>
    <t>BASIC CLINIC</t>
  </si>
  <si>
    <t>Patient + Appointments + Billing</t>
  </si>
  <si>
    <t>₨834,000</t>
  </si>
  <si>
    <t>₨125,100</t>
  </si>
  <si>
    <t>Single clinic, basic needs</t>
  </si>
  <si>
    <t>ENTERPRISE CLINIC</t>
  </si>
  <si>
    <t>Professional + Multi-branch + API</t>
  </si>
  <si>
    <t>₨6,950,000</t>
  </si>
  <si>
    <t>₨1,042,500</t>
  </si>
  <si>
    <t>$25/mo</t>
  </si>
  <si>
    <t>Savings</t>
  </si>
  <si>
    <t>IndiaMART Solutions</t>
  </si>
  <si>
    <t>₨25,000-100,000 one-time</t>
  </si>
  <si>
    <t>$90-$360</t>
  </si>
  <si>
    <t>Basic clinic software</t>
  </si>
  <si>
    <t>Aesthetic-specific, cloud</t>
  </si>
  <si>
    <t>$3,000-6,000 custom</t>
  </si>
  <si>
    <t>Better features</t>
  </si>
  <si>
    <t>💡 KEY MARKET INSIGHTS</t>
  </si>
  <si>
    <t>• Your pricing is 50-80% cheaper than global competitors - MAJOR selling point</t>
  </si>
  <si>
    <t>H. US REGIONAL MARKET PRICING COMPARISON</t>
  </si>
  <si>
    <t>Based on Real Market Research: Dermatology &amp; Aesthetic Clinic Software Pricing USA</t>
  </si>
  <si>
    <t>Plan Type</t>
  </si>
  <si>
    <t>Your Price</t>
  </si>
  <si>
    <t>Source</t>
  </si>
  <si>
    <t>Pabau (Startup)</t>
  </si>
  <si>
    <t>USA/UK</t>
  </si>
  <si>
    <t>1 User</t>
  </si>
  <si>
    <t>G2, Capterra</t>
  </si>
  <si>
    <t>Pabau (Solo)</t>
  </si>
  <si>
    <t>Unlimited</t>
  </si>
  <si>
    <t>$99+</t>
  </si>
  <si>
    <t>$1,188+</t>
  </si>
  <si>
    <t>$74+</t>
  </si>
  <si>
    <t>75%+</t>
  </si>
  <si>
    <t>ITQlick</t>
  </si>
  <si>
    <t>ModMed EMA</t>
  </si>
  <si>
    <t>USA</t>
  </si>
  <si>
    <t>Per Provider</t>
  </si>
  <si>
    <t>$300-$450</t>
  </si>
  <si>
    <t>$3,600-$5,400</t>
  </si>
  <si>
    <t>$257-$407</t>
  </si>
  <si>
    <t>86-90%</t>
  </si>
  <si>
    <t>EMRGuides</t>
  </si>
  <si>
    <t>Nextech</t>
  </si>
  <si>
    <t>$250-$400</t>
  </si>
  <si>
    <t>$3,000-$4,800</t>
  </si>
  <si>
    <t>$207-$357</t>
  </si>
  <si>
    <t>83-89%</t>
  </si>
  <si>
    <t>PatientNow</t>
  </si>
  <si>
    <t>$200-$350</t>
  </si>
  <si>
    <t>$2,400-$4,200</t>
  </si>
  <si>
    <t>$157-$307</t>
  </si>
  <si>
    <t>79-88%</t>
  </si>
  <si>
    <t>Capterra</t>
  </si>
  <si>
    <t>$39-$149</t>
  </si>
  <si>
    <t>$468-$1,788</t>
  </si>
  <si>
    <t>$14-$124</t>
  </si>
  <si>
    <t>36-83%</t>
  </si>
  <si>
    <t>Tiered</t>
  </si>
  <si>
    <t>$99-$500</t>
  </si>
  <si>
    <t>$1,188-$6,000</t>
  </si>
  <si>
    <t>$56-$457</t>
  </si>
  <si>
    <t>57-91%</t>
  </si>
  <si>
    <t>Derm EMR (Basic)</t>
  </si>
  <si>
    <t>Cloud Basic</t>
  </si>
  <si>
    <t>$70-$150</t>
  </si>
  <si>
    <t>$840-$1,800</t>
  </si>
  <si>
    <t>$59-$139</t>
  </si>
  <si>
    <t>84-93%</t>
  </si>
  <si>
    <t>Industry Avg</t>
  </si>
  <si>
    <t>Derm EMR (Pro)</t>
  </si>
  <si>
    <t>Cloud Pro</t>
  </si>
  <si>
    <t>Derm EMR (Enterprise)</t>
  </si>
  <si>
    <t>$400-$500+</t>
  </si>
  <si>
    <t>$4,800-$6,000+</t>
  </si>
  <si>
    <t>$310-$410+</t>
  </si>
  <si>
    <t>78-82%</t>
  </si>
  <si>
    <t>US REGIONAL CLINIC SOFTWARE BUDGET (Average Monthly Spend)</t>
  </si>
  <si>
    <t>US Region</t>
  </si>
  <si>
    <t>Avg Budget/mo</t>
  </si>
  <si>
    <t>Market Size</t>
  </si>
  <si>
    <t>Target 5%</t>
  </si>
  <si>
    <t>Annual Rev</t>
  </si>
  <si>
    <t>Northeast (NY, NJ, PA)</t>
  </si>
  <si>
    <t>$350-$500</t>
  </si>
  <si>
    <t>$325-$475</t>
  </si>
  <si>
    <t>4,500+</t>
  </si>
  <si>
    <t>High-cost</t>
  </si>
  <si>
    <t>California</t>
  </si>
  <si>
    <t>$275-$425</t>
  </si>
  <si>
    <t>5,200+</t>
  </si>
  <si>
    <t>Tech-savvy</t>
  </si>
  <si>
    <t>Texas</t>
  </si>
  <si>
    <t>$175-$325</t>
  </si>
  <si>
    <t>3,800+</t>
  </si>
  <si>
    <t>Growing</t>
  </si>
  <si>
    <t>Florida</t>
  </si>
  <si>
    <t>$225-$375</t>
  </si>
  <si>
    <t>3,200+</t>
  </si>
  <si>
    <t>High demand</t>
  </si>
  <si>
    <t>Southeast (GA, NC)</t>
  </si>
  <si>
    <t>$200-$300</t>
  </si>
  <si>
    <t>$175-$275</t>
  </si>
  <si>
    <t>2,800+</t>
  </si>
  <si>
    <t>Emerging</t>
  </si>
  <si>
    <t>Midwest (IL, OH, MI)</t>
  </si>
  <si>
    <t>$180-$280</t>
  </si>
  <si>
    <t>$155-$255</t>
  </si>
  <si>
    <t>3,500+</t>
  </si>
  <si>
    <t>Value-focused</t>
  </si>
  <si>
    <t>Southwest (AZ, NV)</t>
  </si>
  <si>
    <t>$220-$350</t>
  </si>
  <si>
    <t>$195-$325</t>
  </si>
  <si>
    <t>2,100+</t>
  </si>
  <si>
    <t>Fast-growing</t>
  </si>
  <si>
    <t>Pacific NW (WA, OR)</t>
  </si>
  <si>
    <t>$280-$400</t>
  </si>
  <si>
    <t>$255-$375</t>
  </si>
  <si>
    <t>1,400+</t>
  </si>
  <si>
    <t>USA TOTAL</t>
  </si>
  <si>
    <t>$250-$400 avg</t>
  </si>
  <si>
    <t>90%+</t>
  </si>
  <si>
    <t>26,500+</t>
  </si>
  <si>
    <t>MASSIVE!</t>
  </si>
  <si>
    <t>PAKISTAN vs USA MARKET COMPARISON</t>
  </si>
  <si>
    <t>Market</t>
  </si>
  <si>
    <t>Total Clinics</t>
  </si>
  <si>
    <t>₨50,000 (~$180)</t>
  </si>
  <si>
    <t>$155 (86%)</t>
  </si>
  <si>
    <t>5,500+</t>
  </si>
  <si>
    <t>$82,500/yr</t>
  </si>
  <si>
    <t>$225-$375 (90%)</t>
  </si>
  <si>
    <t>$397,500/yr</t>
  </si>
  <si>
    <t>COMBINED TOTAL</t>
  </si>
  <si>
    <t>-</t>
  </si>
  <si>
    <t>85-90% avg</t>
  </si>
  <si>
    <t>32,000+</t>
  </si>
  <si>
    <t>$480,000/yr</t>
  </si>
  <si>
    <t>💡 KEY MARKET INSIGHTS &amp; SALES STRATEGY</t>
  </si>
  <si>
    <t>1. US PRICING REALITY: Average US dermatology/aesthetic clinic spends $200-$500/month - your $25/mo is 85-95% cheaper!</t>
  </si>
  <si>
    <t>2. PAKISTAN VALIDATED: ₨50,000/month (~$180) is standard clinic software budget - confirmed by industry research</t>
  </si>
  <si>
    <t>3. YOUR COMPETITIVE EDGE: Offer US-quality features at Pakistan-friendly pricing - works for BOTH markets</t>
  </si>
  <si>
    <t>4. NO USAGE FEES: Unlike competitors who charge per transaction/treatment, your flat-rate model is predictable</t>
  </si>
  <si>
    <t>5. IMPLEMENTATION SAVINGS: US competitors charge $3,000-$15,000 for setup - offer FREE or $50-$100 setup</t>
  </si>
  <si>
    <t>6. REGIONAL STRATEGY: Start with price-sensitive markets (Texas, Southeast, Midwest) before premium (CA, NY)</t>
  </si>
  <si>
    <t>7. NICHE FOCUS: Position as 'aesthetic-specific' vs generic EMR - justifies specialty value proposition</t>
  </si>
  <si>
    <t>8. PROOF POINTS: Use Pakistan success stories to demonstrate reliability before US expansion</t>
  </si>
  <si>
    <t>📚 SOURCES: EMRGuides 2026, ITQlick, G2, Capterra, KLAS Research, FinancialModelsLab, Industry Reports</t>
  </si>
  <si>
    <t>Marketing &amp; 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</si>
</sst>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£&quot;#,##0;[Red]\-&quot;£&quot;#,##0"/>
    <numFmt numFmtId="164" formatCode="&quot;£&quot;#,##0"/>
    <numFmt numFmtId="165" formatCode="\₨#,##0"/>
    <numFmt numFmtId="166" formatCode="[$$-409]#,##0"/>
    <numFmt numFmtId="167" formatCode="d\-mmm"/>
    <numFmt numFmtId="168" formatCode="dd\-mmm\-yyyy"/>
    <numFmt numFmtId="169" formatCode="[$₨]#,##0"/>
  </numFmts>
  <fonts count="3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8"/>
      <color rgb="FFFFFFFF"/>
      <name val="Segoe UI"/>
    </font>
    <font>
      <sz val="10"/>
      <color theme="1"/>
      <name val="Segoe UI"/>
    </font>
    <font>
      <b/>
      <sz val="10"/>
      <color rgb="FFFFFFFF"/>
      <name val="Segoe UI"/>
    </font>
    <font>
      <b/>
      <sz val="11"/>
      <color rgb="FFFFFFFF"/>
      <name val="Segoe UI"/>
    </font>
    <font>
      <i/>
      <sz val="11"/>
      <color rgb="FF66666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2E7D32"/>
      <name val="Aptos Narrow"/>
      <family val="2"/>
      <scheme val="minor"/>
    </font>
    <font>
      <b/>
      <sz val="11"/>
      <color rgb="FF1565C0"/>
      <name val="Aptos Narrow"/>
      <family val="2"/>
      <scheme val="minor"/>
    </font>
    <font>
      <sz val="11"/>
      <color rgb="FFFFFFFF"/>
      <name val="Segoe UI"/>
    </font>
    <font>
      <b/>
      <sz val="10"/>
      <color rgb="FF4573DF"/>
      <name val="Aptos Narrow"/>
      <family val="2"/>
      <scheme val="minor"/>
    </font>
    <font>
      <sz val="9"/>
      <color rgb="FFFFFFFF"/>
      <name val="Aptos Narrow"/>
      <family val="2"/>
      <scheme val="minor"/>
    </font>
    <font>
      <b/>
      <sz val="16"/>
      <color rgb="FFFFFFFF"/>
      <name val="Segoe UI"/>
    </font>
    <font>
      <i/>
      <sz val="10"/>
      <color rgb="FFFFFFFF"/>
      <name val="Aptos Narrow"/>
      <family val="2"/>
      <scheme val="minor"/>
    </font>
    <font>
      <b/>
      <sz val="11"/>
      <color rgb="FF1D2127"/>
      <name val="Aptos Narrow"/>
      <family val="2"/>
      <scheme val="minor"/>
    </font>
    <font>
      <b/>
      <sz val="14"/>
      <color rgb="FF1D2127"/>
      <name val="Aptos Narrow"/>
      <family val="2"/>
      <scheme val="minor"/>
    </font>
    <font>
      <b/>
      <sz val="12"/>
      <color rgb="FF1D2127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u/>
      <sz val="10"/>
      <color rgb="FF4573DF"/>
      <name val="Aptos Narrow"/>
      <family val="2"/>
      <scheme val="minor"/>
    </font>
    <font>
      <b/>
      <u/>
      <sz val="16"/>
      <color rgb="FF4573DF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b/>
      <sz val="11"/>
      <color rgb="FF2E7D32"/>
      <name val="Aptos Narrow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3E5F5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BEE3F8"/>
        <bgColor indexed="64"/>
      </patternFill>
    </fill>
    <fill>
      <patternFill patternType="solid">
        <fgColor rgb="FF2B6CB0"/>
        <bgColor indexed="64"/>
      </patternFill>
    </fill>
    <fill>
      <patternFill patternType="solid">
        <fgColor rgb="FF90CDF4"/>
        <bgColor indexed="64"/>
      </patternFill>
    </fill>
    <fill>
      <patternFill patternType="solid">
        <fgColor rgb="FF319795"/>
        <bgColor indexed="64"/>
      </patternFill>
    </fill>
    <fill>
      <patternFill patternType="solid">
        <fgColor rgb="FFB2F5EA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744210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D1F2EB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6F3FF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4573DF"/>
        <bgColor indexed="64"/>
      </patternFill>
    </fill>
    <fill>
      <patternFill patternType="solid">
        <fgColor rgb="FF1D2127"/>
        <bgColor indexed="64"/>
      </patternFill>
    </fill>
    <fill>
      <patternFill patternType="solid">
        <fgColor rgb="FF2D4FA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23272F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8F4E8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2E7D3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9">
    <xf numFmtId="0" fontId="0" fillId="0" borderId="0" xfId="0"/>
    <xf numFmtId="164" fontId="0" fillId="0" borderId="0" xfId="0" applyNumberFormat="1"/>
    <xf numFmtId="3" fontId="0" fillId="0" borderId="0" xfId="0" applyNumberFormat="1"/>
    <xf numFmtId="3" fontId="1" fillId="19" borderId="0" xfId="0" applyNumberFormat="1" applyFont="1" applyFill="1"/>
    <xf numFmtId="165" fontId="0" fillId="0" borderId="0" xfId="0" applyNumberFormat="1"/>
    <xf numFmtId="165" fontId="0" fillId="0" borderId="5" xfId="0" applyNumberFormat="1" applyBorder="1"/>
    <xf numFmtId="9" fontId="0" fillId="0" borderId="5" xfId="0" applyNumberFormat="1" applyBorder="1"/>
    <xf numFmtId="9" fontId="1" fillId="27" borderId="5" xfId="0" applyNumberFormat="1" applyFont="1" applyFill="1" applyBorder="1"/>
    <xf numFmtId="3" fontId="0" fillId="0" borderId="5" xfId="0" applyNumberFormat="1" applyBorder="1"/>
    <xf numFmtId="165" fontId="1" fillId="12" borderId="5" xfId="0" applyNumberFormat="1" applyFont="1" applyFill="1" applyBorder="1"/>
    <xf numFmtId="3" fontId="1" fillId="14" borderId="0" xfId="0" applyNumberFormat="1" applyFont="1" applyFill="1"/>
    <xf numFmtId="10" fontId="1" fillId="14" borderId="0" xfId="0" applyNumberFormat="1" applyFont="1" applyFill="1"/>
    <xf numFmtId="165" fontId="5" fillId="27" borderId="0" xfId="0" applyNumberFormat="1" applyFont="1" applyFill="1"/>
    <xf numFmtId="165" fontId="4" fillId="32" borderId="0" xfId="0" applyNumberFormat="1" applyFont="1" applyFill="1"/>
    <xf numFmtId="3" fontId="1" fillId="7" borderId="5" xfId="0" applyNumberFormat="1" applyFont="1" applyFill="1" applyBorder="1"/>
    <xf numFmtId="10" fontId="0" fillId="0" borderId="5" xfId="0" applyNumberFormat="1" applyBorder="1"/>
    <xf numFmtId="165" fontId="1" fillId="35" borderId="5" xfId="0" applyNumberFormat="1" applyFont="1" applyFill="1" applyBorder="1"/>
    <xf numFmtId="3" fontId="1" fillId="8" borderId="5" xfId="0" applyNumberFormat="1" applyFont="1" applyFill="1" applyBorder="1"/>
    <xf numFmtId="165" fontId="3" fillId="29" borderId="5" xfId="0" applyNumberFormat="1" applyFont="1" applyFill="1" applyBorder="1"/>
    <xf numFmtId="9" fontId="3" fillId="29" borderId="5" xfId="0" applyNumberFormat="1" applyFont="1" applyFill="1" applyBorder="1"/>
    <xf numFmtId="166" fontId="0" fillId="0" borderId="0" xfId="0" applyNumberFormat="1"/>
    <xf numFmtId="166" fontId="0" fillId="38" borderId="0" xfId="0" applyNumberFormat="1" applyFill="1"/>
    <xf numFmtId="166" fontId="0" fillId="37" borderId="0" xfId="0" applyNumberFormat="1" applyFill="1"/>
    <xf numFmtId="166" fontId="0" fillId="39" borderId="0" xfId="0" applyNumberFormat="1" applyFill="1"/>
    <xf numFmtId="166" fontId="0" fillId="40" borderId="0" xfId="0" applyNumberFormat="1" applyFill="1"/>
    <xf numFmtId="166" fontId="0" fillId="52" borderId="0" xfId="0" applyNumberFormat="1" applyFill="1"/>
    <xf numFmtId="166" fontId="0" fillId="0" borderId="5" xfId="0" applyNumberFormat="1" applyBorder="1"/>
    <xf numFmtId="167" fontId="0" fillId="0" borderId="5" xfId="0" applyNumberFormat="1" applyBorder="1"/>
    <xf numFmtId="166" fontId="0" fillId="5" borderId="5" xfId="0" applyNumberFormat="1" applyFill="1" applyBorder="1"/>
    <xf numFmtId="166" fontId="1" fillId="12" borderId="5" xfId="0" applyNumberFormat="1" applyFont="1" applyFill="1" applyBorder="1"/>
    <xf numFmtId="166" fontId="1" fillId="14" borderId="0" xfId="0" applyNumberFormat="1" applyFont="1" applyFill="1"/>
    <xf numFmtId="166" fontId="5" fillId="27" borderId="0" xfId="0" applyNumberFormat="1" applyFont="1" applyFill="1"/>
    <xf numFmtId="166" fontId="4" fillId="32" borderId="0" xfId="0" applyNumberFormat="1" applyFont="1" applyFill="1"/>
    <xf numFmtId="166" fontId="1" fillId="0" borderId="0" xfId="0" applyNumberFormat="1" applyFont="1"/>
    <xf numFmtId="166" fontId="0" fillId="3" borderId="5" xfId="0" applyNumberFormat="1" applyFill="1" applyBorder="1"/>
    <xf numFmtId="166" fontId="3" fillId="29" borderId="5" xfId="0" applyNumberFormat="1" applyFont="1" applyFill="1" applyBorder="1"/>
    <xf numFmtId="164" fontId="0" fillId="27" borderId="0" xfId="0" applyNumberFormat="1" applyFill="1"/>
    <xf numFmtId="166" fontId="0" fillId="27" borderId="5" xfId="0" applyNumberFormat="1" applyFill="1" applyBorder="1"/>
    <xf numFmtId="165" fontId="1" fillId="46" borderId="0" xfId="0" applyNumberFormat="1" applyFont="1" applyFill="1"/>
    <xf numFmtId="165" fontId="0" fillId="8" borderId="7" xfId="0" applyNumberFormat="1" applyFill="1" applyBorder="1"/>
    <xf numFmtId="165" fontId="0" fillId="8" borderId="5" xfId="0" applyNumberFormat="1" applyFill="1" applyBorder="1"/>
    <xf numFmtId="0" fontId="18" fillId="0" borderId="0" xfId="0" applyFont="1"/>
    <xf numFmtId="0" fontId="18" fillId="0" borderId="0" xfId="0" applyFont="1" applyAlignment="1">
      <alignment horizontal="center"/>
    </xf>
    <xf numFmtId="9" fontId="0" fillId="0" borderId="0" xfId="0" applyNumberFormat="1"/>
    <xf numFmtId="9" fontId="0" fillId="27" borderId="0" xfId="0" applyNumberFormat="1" applyFill="1"/>
    <xf numFmtId="165" fontId="0" fillId="27" borderId="0" xfId="0" applyNumberFormat="1" applyFill="1"/>
    <xf numFmtId="166" fontId="0" fillId="27" borderId="0" xfId="0" applyNumberFormat="1" applyFill="1"/>
    <xf numFmtId="166" fontId="1" fillId="27" borderId="0" xfId="0" applyNumberFormat="1" applyFont="1" applyFill="1"/>
    <xf numFmtId="165" fontId="1" fillId="0" borderId="0" xfId="0" applyNumberFormat="1" applyFont="1"/>
    <xf numFmtId="1" fontId="0" fillId="0" borderId="0" xfId="0" applyNumberFormat="1"/>
    <xf numFmtId="0" fontId="1" fillId="0" borderId="0" xfId="0" applyFont="1"/>
    <xf numFmtId="0" fontId="1" fillId="14" borderId="0" xfId="0" applyFont="1" applyFill="1"/>
    <xf numFmtId="0" fontId="0" fillId="14" borderId="0" xfId="0" applyFill="1"/>
    <xf numFmtId="0" fontId="1" fillId="7" borderId="5" xfId="0" applyFont="1" applyFill="1" applyBorder="1"/>
    <xf numFmtId="0" fontId="0" fillId="0" borderId="5" xfId="0" applyBorder="1"/>
    <xf numFmtId="0" fontId="0" fillId="14" borderId="5" xfId="0" applyFill="1" applyBorder="1"/>
    <xf numFmtId="0" fontId="2" fillId="55" borderId="0" xfId="0" applyFont="1" applyFill="1"/>
    <xf numFmtId="0" fontId="2" fillId="0" borderId="0" xfId="0" applyFont="1"/>
    <xf numFmtId="0" fontId="0" fillId="27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" fillId="41" borderId="0" xfId="0" applyFont="1" applyFill="1"/>
    <xf numFmtId="0" fontId="0" fillId="41" borderId="0" xfId="0" applyFill="1"/>
    <xf numFmtId="0" fontId="1" fillId="43" borderId="0" xfId="0" applyFont="1" applyFill="1"/>
    <xf numFmtId="0" fontId="3" fillId="36" borderId="0" xfId="0" applyFont="1" applyFill="1"/>
    <xf numFmtId="166" fontId="3" fillId="46" borderId="0" xfId="0" applyNumberFormat="1" applyFont="1" applyFill="1"/>
    <xf numFmtId="0" fontId="1" fillId="45" borderId="0" xfId="0" applyFont="1" applyFill="1"/>
    <xf numFmtId="0" fontId="0" fillId="46" borderId="0" xfId="0" applyFill="1"/>
    <xf numFmtId="0" fontId="1" fillId="51" borderId="0" xfId="0" applyFont="1" applyFill="1"/>
    <xf numFmtId="0" fontId="0" fillId="52" borderId="0" xfId="0" applyFill="1"/>
    <xf numFmtId="0" fontId="5" fillId="50" borderId="0" xfId="0" applyFont="1" applyFill="1"/>
    <xf numFmtId="0" fontId="0" fillId="50" borderId="0" xfId="0" applyFill="1"/>
    <xf numFmtId="0" fontId="1" fillId="46" borderId="0" xfId="0" applyFont="1" applyFill="1"/>
    <xf numFmtId="0" fontId="1" fillId="50" borderId="0" xfId="0" applyFont="1" applyFill="1"/>
    <xf numFmtId="0" fontId="5" fillId="47" borderId="0" xfId="0" applyFont="1" applyFill="1"/>
    <xf numFmtId="0" fontId="0" fillId="47" borderId="0" xfId="0" applyFill="1"/>
    <xf numFmtId="0" fontId="0" fillId="48" borderId="0" xfId="0" applyFill="1"/>
    <xf numFmtId="0" fontId="5" fillId="53" borderId="0" xfId="0" applyFont="1" applyFill="1"/>
    <xf numFmtId="0" fontId="0" fillId="53" borderId="0" xfId="0" applyFill="1"/>
    <xf numFmtId="0" fontId="0" fillId="51" borderId="0" xfId="0" applyFill="1"/>
    <xf numFmtId="0" fontId="0" fillId="54" borderId="0" xfId="0" applyFill="1"/>
    <xf numFmtId="0" fontId="6" fillId="49" borderId="0" xfId="0" applyFont="1" applyFill="1"/>
    <xf numFmtId="0" fontId="0" fillId="49" borderId="0" xfId="0" applyFill="1"/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20" fillId="28" borderId="11" xfId="0" applyFont="1" applyFill="1" applyBorder="1"/>
    <xf numFmtId="0" fontId="20" fillId="28" borderId="11" xfId="0" applyFont="1" applyFill="1" applyBorder="1" applyAlignment="1">
      <alignment horizontal="center"/>
    </xf>
    <xf numFmtId="0" fontId="18" fillId="0" borderId="11" xfId="0" applyFont="1" applyBorder="1"/>
    <xf numFmtId="0" fontId="18" fillId="0" borderId="11" xfId="0" applyFont="1" applyBorder="1" applyAlignment="1">
      <alignment horizontal="center"/>
    </xf>
    <xf numFmtId="166" fontId="18" fillId="0" borderId="11" xfId="0" applyNumberFormat="1" applyFont="1" applyBorder="1" applyAlignment="1">
      <alignment horizontal="center"/>
    </xf>
    <xf numFmtId="0" fontId="19" fillId="28" borderId="11" xfId="0" applyFont="1" applyFill="1" applyBorder="1"/>
    <xf numFmtId="0" fontId="19" fillId="28" borderId="11" xfId="0" applyFont="1" applyFill="1" applyBorder="1" applyAlignment="1">
      <alignment horizontal="center"/>
    </xf>
    <xf numFmtId="0" fontId="19" fillId="29" borderId="11" xfId="0" applyFont="1" applyFill="1" applyBorder="1"/>
    <xf numFmtId="0" fontId="20" fillId="28" borderId="12" xfId="0" applyFont="1" applyFill="1" applyBorder="1"/>
    <xf numFmtId="0" fontId="20" fillId="28" borderId="12" xfId="0" applyFont="1" applyFill="1" applyBorder="1" applyAlignment="1">
      <alignment horizontal="center"/>
    </xf>
    <xf numFmtId="0" fontId="0" fillId="28" borderId="0" xfId="0" applyFill="1"/>
    <xf numFmtId="0" fontId="3" fillId="28" borderId="0" xfId="0" applyFont="1" applyFill="1"/>
    <xf numFmtId="0" fontId="1" fillId="7" borderId="0" xfId="0" applyFont="1" applyFill="1"/>
    <xf numFmtId="0" fontId="21" fillId="0" borderId="0" xfId="0" applyFont="1"/>
    <xf numFmtId="0" fontId="4" fillId="0" borderId="0" xfId="0" applyFont="1"/>
    <xf numFmtId="0" fontId="3" fillId="58" borderId="0" xfId="0" applyFont="1" applyFill="1"/>
    <xf numFmtId="0" fontId="0" fillId="58" borderId="0" xfId="0" applyFill="1"/>
    <xf numFmtId="0" fontId="22" fillId="0" borderId="0" xfId="0" applyFont="1"/>
    <xf numFmtId="0" fontId="9" fillId="0" borderId="5" xfId="0" applyFont="1" applyBorder="1"/>
    <xf numFmtId="0" fontId="9" fillId="0" borderId="13" xfId="0" applyFont="1" applyBorder="1"/>
    <xf numFmtId="0" fontId="14" fillId="27" borderId="5" xfId="0" applyFont="1" applyFill="1" applyBorder="1"/>
    <xf numFmtId="0" fontId="14" fillId="56" borderId="5" xfId="0" applyFont="1" applyFill="1" applyBorder="1"/>
    <xf numFmtId="0" fontId="14" fillId="59" borderId="5" xfId="0" applyFont="1" applyFill="1" applyBorder="1"/>
    <xf numFmtId="0" fontId="14" fillId="57" borderId="5" xfId="0" applyFont="1" applyFill="1" applyBorder="1"/>
    <xf numFmtId="0" fontId="1" fillId="0" borderId="3" xfId="0" applyFont="1" applyBorder="1"/>
    <xf numFmtId="0" fontId="0" fillId="0" borderId="1" xfId="0" applyBorder="1"/>
    <xf numFmtId="0" fontId="0" fillId="0" borderId="6" xfId="0" applyBorder="1"/>
    <xf numFmtId="0" fontId="1" fillId="60" borderId="5" xfId="0" applyFont="1" applyFill="1" applyBorder="1"/>
    <xf numFmtId="0" fontId="0" fillId="0" borderId="8" xfId="0" applyBorder="1"/>
    <xf numFmtId="0" fontId="0" fillId="0" borderId="9" xfId="0" applyBorder="1"/>
    <xf numFmtId="0" fontId="0" fillId="11" borderId="5" xfId="0" applyFill="1" applyBorder="1"/>
    <xf numFmtId="166" fontId="0" fillId="8" borderId="5" xfId="0" applyNumberFormat="1" applyFill="1" applyBorder="1"/>
    <xf numFmtId="0" fontId="0" fillId="0" borderId="4" xfId="0" applyBorder="1"/>
    <xf numFmtId="0" fontId="0" fillId="11" borderId="2" xfId="0" applyFill="1" applyBorder="1"/>
    <xf numFmtId="0" fontId="9" fillId="27" borderId="5" xfId="0" applyFont="1" applyFill="1" applyBorder="1"/>
    <xf numFmtId="166" fontId="9" fillId="0" borderId="5" xfId="0" applyNumberFormat="1" applyFont="1" applyBorder="1"/>
    <xf numFmtId="0" fontId="9" fillId="56" borderId="5" xfId="0" applyFont="1" applyFill="1" applyBorder="1"/>
    <xf numFmtId="0" fontId="15" fillId="28" borderId="5" xfId="0" applyFont="1" applyFill="1" applyBorder="1"/>
    <xf numFmtId="0" fontId="14" fillId="0" borderId="5" xfId="0" applyFont="1" applyBorder="1"/>
    <xf numFmtId="166" fontId="14" fillId="8" borderId="5" xfId="0" applyNumberFormat="1" applyFont="1" applyFill="1" applyBorder="1"/>
    <xf numFmtId="0" fontId="14" fillId="8" borderId="5" xfId="0" applyFont="1" applyFill="1" applyBorder="1"/>
    <xf numFmtId="0" fontId="0" fillId="3" borderId="5" xfId="0" applyFill="1" applyBorder="1"/>
    <xf numFmtId="0" fontId="1" fillId="8" borderId="5" xfId="0" applyFont="1" applyFill="1" applyBorder="1"/>
    <xf numFmtId="0" fontId="0" fillId="5" borderId="5" xfId="0" applyFill="1" applyBorder="1"/>
    <xf numFmtId="0" fontId="1" fillId="16" borderId="0" xfId="0" applyFont="1" applyFill="1"/>
    <xf numFmtId="0" fontId="1" fillId="12" borderId="5" xfId="0" applyFont="1" applyFill="1" applyBorder="1"/>
    <xf numFmtId="0" fontId="1" fillId="33" borderId="5" xfId="0" applyFont="1" applyFill="1" applyBorder="1"/>
    <xf numFmtId="0" fontId="1" fillId="8" borderId="0" xfId="0" applyFont="1" applyFill="1"/>
    <xf numFmtId="0" fontId="1" fillId="19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10" borderId="5" xfId="0" applyFont="1" applyFill="1" applyBorder="1"/>
    <xf numFmtId="0" fontId="1" fillId="2" borderId="0" xfId="0" applyFont="1" applyFill="1"/>
    <xf numFmtId="0" fontId="1" fillId="35" borderId="5" xfId="0" applyFont="1" applyFill="1" applyBorder="1"/>
    <xf numFmtId="0" fontId="1" fillId="9" borderId="5" xfId="0" applyFont="1" applyFill="1" applyBorder="1"/>
    <xf numFmtId="0" fontId="3" fillId="29" borderId="5" xfId="0" applyFont="1" applyFill="1" applyBorder="1"/>
    <xf numFmtId="0" fontId="23" fillId="0" borderId="0" xfId="0" applyFont="1"/>
    <xf numFmtId="0" fontId="24" fillId="0" borderId="0" xfId="0" applyFont="1"/>
    <xf numFmtId="169" fontId="0" fillId="27" borderId="0" xfId="0" applyNumberFormat="1" applyFill="1"/>
    <xf numFmtId="169" fontId="0" fillId="0" borderId="0" xfId="0" applyNumberFormat="1"/>
    <xf numFmtId="169" fontId="0" fillId="0" borderId="5" xfId="0" applyNumberFormat="1" applyBorder="1"/>
    <xf numFmtId="169" fontId="0" fillId="27" borderId="5" xfId="0" applyNumberFormat="1" applyFill="1" applyBorder="1"/>
    <xf numFmtId="0" fontId="3" fillId="62" borderId="0" xfId="0" applyFont="1" applyFill="1"/>
    <xf numFmtId="0" fontId="3" fillId="61" borderId="0" xfId="0" applyFont="1" applyFill="1"/>
    <xf numFmtId="0" fontId="15" fillId="63" borderId="5" xfId="0" applyFont="1" applyFill="1" applyBorder="1"/>
    <xf numFmtId="0" fontId="26" fillId="0" borderId="5" xfId="0" applyFont="1" applyBorder="1" applyAlignment="1">
      <alignment horizontal="right"/>
    </xf>
    <xf numFmtId="166" fontId="26" fillId="0" borderId="5" xfId="0" applyNumberFormat="1" applyFont="1" applyBorder="1" applyAlignment="1">
      <alignment horizontal="right"/>
    </xf>
    <xf numFmtId="0" fontId="12" fillId="65" borderId="0" xfId="0" applyFont="1" applyFill="1"/>
    <xf numFmtId="0" fontId="3" fillId="63" borderId="5" xfId="0" applyFont="1" applyFill="1" applyBorder="1"/>
    <xf numFmtId="166" fontId="3" fillId="63" borderId="5" xfId="0" applyNumberFormat="1" applyFont="1" applyFill="1" applyBorder="1"/>
    <xf numFmtId="0" fontId="3" fillId="63" borderId="0" xfId="0" applyFont="1" applyFill="1"/>
    <xf numFmtId="0" fontId="30" fillId="64" borderId="5" xfId="0" applyFont="1" applyFill="1" applyBorder="1"/>
    <xf numFmtId="166" fontId="30" fillId="64" borderId="5" xfId="0" applyNumberFormat="1" applyFont="1" applyFill="1" applyBorder="1"/>
    <xf numFmtId="169" fontId="30" fillId="64" borderId="5" xfId="0" applyNumberFormat="1" applyFont="1" applyFill="1" applyBorder="1"/>
    <xf numFmtId="0" fontId="31" fillId="64" borderId="5" xfId="0" applyFont="1" applyFill="1" applyBorder="1"/>
    <xf numFmtId="166" fontId="31" fillId="64" borderId="5" xfId="0" applyNumberFormat="1" applyFont="1" applyFill="1" applyBorder="1"/>
    <xf numFmtId="169" fontId="31" fillId="64" borderId="5" xfId="0" applyNumberFormat="1" applyFont="1" applyFill="1" applyBorder="1"/>
    <xf numFmtId="0" fontId="3" fillId="65" borderId="0" xfId="0" applyFont="1" applyFill="1"/>
    <xf numFmtId="0" fontId="3" fillId="63" borderId="5" xfId="0" applyFont="1" applyFill="1" applyBorder="1" applyAlignment="1">
      <alignment horizontal="center"/>
    </xf>
    <xf numFmtId="9" fontId="30" fillId="64" borderId="5" xfId="0" applyNumberFormat="1" applyFont="1" applyFill="1" applyBorder="1"/>
    <xf numFmtId="3" fontId="30" fillId="64" borderId="5" xfId="0" applyNumberFormat="1" applyFont="1" applyFill="1" applyBorder="1"/>
    <xf numFmtId="165" fontId="30" fillId="64" borderId="5" xfId="0" applyNumberFormat="1" applyFont="1" applyFill="1" applyBorder="1"/>
    <xf numFmtId="0" fontId="12" fillId="65" borderId="4" xfId="0" applyFont="1" applyFill="1" applyBorder="1"/>
    <xf numFmtId="0" fontId="3" fillId="65" borderId="2" xfId="0" applyFont="1" applyFill="1" applyBorder="1"/>
    <xf numFmtId="0" fontId="12" fillId="65" borderId="7" xfId="0" applyFont="1" applyFill="1" applyBorder="1"/>
    <xf numFmtId="1" fontId="12" fillId="65" borderId="0" xfId="0" applyNumberFormat="1" applyFont="1" applyFill="1"/>
    <xf numFmtId="3" fontId="3" fillId="63" borderId="5" xfId="0" applyNumberFormat="1" applyFont="1" applyFill="1" applyBorder="1"/>
    <xf numFmtId="0" fontId="32" fillId="64" borderId="5" xfId="0" applyFont="1" applyFill="1" applyBorder="1"/>
    <xf numFmtId="166" fontId="32" fillId="64" borderId="5" xfId="0" applyNumberFormat="1" applyFont="1" applyFill="1" applyBorder="1"/>
    <xf numFmtId="165" fontId="32" fillId="64" borderId="5" xfId="0" applyNumberFormat="1" applyFont="1" applyFill="1" applyBorder="1"/>
    <xf numFmtId="0" fontId="10" fillId="61" borderId="0" xfId="0" applyFont="1" applyFill="1"/>
    <xf numFmtId="0" fontId="33" fillId="63" borderId="0" xfId="0" applyFont="1" applyFill="1"/>
    <xf numFmtId="166" fontId="33" fillId="63" borderId="0" xfId="0" applyNumberFormat="1" applyFont="1" applyFill="1"/>
    <xf numFmtId="165" fontId="33" fillId="63" borderId="0" xfId="0" applyNumberFormat="1" applyFont="1" applyFill="1"/>
    <xf numFmtId="0" fontId="0" fillId="66" borderId="0" xfId="0" applyFill="1"/>
    <xf numFmtId="166" fontId="0" fillId="66" borderId="0" xfId="0" applyNumberFormat="1" applyFill="1"/>
    <xf numFmtId="165" fontId="0" fillId="66" borderId="0" xfId="0" applyNumberFormat="1" applyFill="1"/>
    <xf numFmtId="0" fontId="0" fillId="67" borderId="0" xfId="0" applyFill="1"/>
    <xf numFmtId="166" fontId="0" fillId="67" borderId="0" xfId="0" applyNumberFormat="1" applyFill="1"/>
    <xf numFmtId="165" fontId="0" fillId="67" borderId="0" xfId="0" applyNumberFormat="1" applyFill="1"/>
    <xf numFmtId="0" fontId="0" fillId="68" borderId="0" xfId="0" applyFill="1"/>
    <xf numFmtId="166" fontId="0" fillId="68" borderId="0" xfId="0" applyNumberFormat="1" applyFill="1"/>
    <xf numFmtId="165" fontId="0" fillId="68" borderId="0" xfId="0" applyNumberFormat="1" applyFill="1"/>
    <xf numFmtId="0" fontId="0" fillId="69" borderId="0" xfId="0" applyFill="1"/>
    <xf numFmtId="166" fontId="0" fillId="69" borderId="0" xfId="0" applyNumberFormat="1" applyFill="1"/>
    <xf numFmtId="165" fontId="0" fillId="69" borderId="0" xfId="0" applyNumberFormat="1" applyFill="1"/>
    <xf numFmtId="0" fontId="15" fillId="63" borderId="0" xfId="0" applyFont="1" applyFill="1"/>
    <xf numFmtId="0" fontId="20" fillId="62" borderId="11" xfId="0" applyFont="1" applyFill="1" applyBorder="1"/>
    <xf numFmtId="0" fontId="20" fillId="62" borderId="11" xfId="0" applyFont="1" applyFill="1" applyBorder="1" applyAlignment="1">
      <alignment horizontal="center"/>
    </xf>
    <xf numFmtId="0" fontId="19" fillId="62" borderId="11" xfId="0" applyFont="1" applyFill="1" applyBorder="1"/>
    <xf numFmtId="166" fontId="19" fillId="62" borderId="11" xfId="0" applyNumberFormat="1" applyFont="1" applyFill="1" applyBorder="1" applyAlignment="1">
      <alignment horizontal="center"/>
    </xf>
    <xf numFmtId="0" fontId="19" fillId="62" borderId="11" xfId="0" applyFont="1" applyFill="1" applyBorder="1" applyAlignment="1">
      <alignment horizontal="center"/>
    </xf>
    <xf numFmtId="166" fontId="3" fillId="65" borderId="0" xfId="0" applyNumberFormat="1" applyFont="1" applyFill="1"/>
    <xf numFmtId="166" fontId="12" fillId="65" borderId="0" xfId="0" applyNumberFormat="1" applyFont="1" applyFill="1"/>
    <xf numFmtId="0" fontId="0" fillId="3" borderId="0" xfId="0" applyFill="1"/>
    <xf numFmtId="0" fontId="1" fillId="3" borderId="0" xfId="0" applyFont="1" applyFill="1"/>
    <xf numFmtId="166" fontId="1" fillId="3" borderId="0" xfId="0" applyNumberFormat="1" applyFont="1" applyFill="1"/>
    <xf numFmtId="0" fontId="0" fillId="70" borderId="0" xfId="0" applyFill="1"/>
    <xf numFmtId="0" fontId="1" fillId="70" borderId="0" xfId="0" applyFont="1" applyFill="1"/>
    <xf numFmtId="166" fontId="0" fillId="70" borderId="0" xfId="0" applyNumberFormat="1" applyFill="1"/>
    <xf numFmtId="165" fontId="0" fillId="70" borderId="0" xfId="0" applyNumberFormat="1" applyFill="1"/>
    <xf numFmtId="168" fontId="0" fillId="70" borderId="0" xfId="0" applyNumberFormat="1" applyFill="1"/>
    <xf numFmtId="166" fontId="6" fillId="71" borderId="0" xfId="0" applyNumberFormat="1" applyFont="1" applyFill="1"/>
    <xf numFmtId="169" fontId="3" fillId="71" borderId="0" xfId="0" applyNumberFormat="1" applyFont="1" applyFill="1"/>
    <xf numFmtId="166" fontId="10" fillId="71" borderId="0" xfId="0" applyNumberFormat="1" applyFont="1" applyFill="1"/>
    <xf numFmtId="165" fontId="6" fillId="71" borderId="0" xfId="0" applyNumberFormat="1" applyFont="1" applyFill="1"/>
    <xf numFmtId="166" fontId="3" fillId="71" borderId="0" xfId="0" applyNumberFormat="1" applyFont="1" applyFill="1"/>
    <xf numFmtId="165" fontId="3" fillId="71" borderId="0" xfId="0" applyNumberFormat="1" applyFont="1" applyFill="1"/>
    <xf numFmtId="0" fontId="3" fillId="71" borderId="0" xfId="0" applyFont="1" applyFill="1"/>
    <xf numFmtId="0" fontId="1" fillId="64" borderId="0" xfId="0" applyFont="1" applyFill="1"/>
    <xf numFmtId="0" fontId="30" fillId="64" borderId="0" xfId="0" applyFont="1" applyFill="1"/>
    <xf numFmtId="164" fontId="30" fillId="64" borderId="0" xfId="0" applyNumberFormat="1" applyFont="1" applyFill="1"/>
    <xf numFmtId="0" fontId="34" fillId="0" borderId="5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5" fillId="64" borderId="0" xfId="0" applyFont="1" applyFill="1" applyAlignment="1">
      <alignment horizontal="right"/>
    </xf>
    <xf numFmtId="0" fontId="35" fillId="64" borderId="0" xfId="0" applyFont="1" applyFill="1"/>
    <xf numFmtId="6" fontId="0" fillId="0" borderId="0" xfId="0" applyNumberFormat="1"/>
    <xf numFmtId="6" fontId="1" fillId="70" borderId="0" xfId="0" applyNumberFormat="1" applyFont="1" applyFill="1"/>
    <xf numFmtId="0" fontId="37" fillId="0" borderId="0" xfId="0" applyFont="1"/>
    <xf numFmtId="9" fontId="3" fillId="63" borderId="0" xfId="0" applyNumberFormat="1" applyFont="1" applyFill="1"/>
    <xf numFmtId="6" fontId="3" fillId="62" borderId="0" xfId="0" applyNumberFormat="1" applyFont="1" applyFill="1"/>
    <xf numFmtId="6" fontId="3" fillId="63" borderId="0" xfId="0" applyNumberFormat="1" applyFont="1" applyFill="1"/>
    <xf numFmtId="9" fontId="3" fillId="62" borderId="0" xfId="0" applyNumberFormat="1" applyFont="1" applyFill="1"/>
    <xf numFmtId="6" fontId="1" fillId="64" borderId="0" xfId="0" applyNumberFormat="1" applyFont="1" applyFill="1"/>
    <xf numFmtId="3" fontId="1" fillId="64" borderId="0" xfId="0" applyNumberFormat="1" applyFont="1" applyFill="1"/>
    <xf numFmtId="3" fontId="1" fillId="70" borderId="0" xfId="0" applyNumberFormat="1" applyFont="1" applyFill="1"/>
    <xf numFmtId="0" fontId="28" fillId="61" borderId="0" xfId="0" applyFont="1" applyFill="1" applyAlignment="1">
      <alignment horizontal="center"/>
    </xf>
    <xf numFmtId="0" fontId="10" fillId="61" borderId="0" xfId="0" applyFont="1" applyFill="1"/>
    <xf numFmtId="0" fontId="13" fillId="63" borderId="0" xfId="0" applyFont="1" applyFill="1" applyAlignment="1">
      <alignment horizontal="center"/>
    </xf>
    <xf numFmtId="0" fontId="12" fillId="63" borderId="0" xfId="0" applyFont="1" applyFill="1"/>
    <xf numFmtId="0" fontId="36" fillId="0" borderId="0" xfId="0" applyFont="1"/>
    <xf numFmtId="0" fontId="17" fillId="61" borderId="0" xfId="0" applyFont="1" applyFill="1" applyAlignment="1">
      <alignment horizontal="center"/>
    </xf>
    <xf numFmtId="0" fontId="7" fillId="61" borderId="0" xfId="0" applyFont="1" applyFill="1"/>
    <xf numFmtId="0" fontId="25" fillId="63" borderId="0" xfId="0" applyFont="1" applyFill="1" applyAlignment="1">
      <alignment horizontal="center"/>
    </xf>
    <xf numFmtId="0" fontId="3" fillId="62" borderId="0" xfId="0" applyFont="1" applyFill="1"/>
    <xf numFmtId="0" fontId="15" fillId="62" borderId="0" xfId="0" applyFont="1" applyFill="1"/>
    <xf numFmtId="0" fontId="16" fillId="0" borderId="0" xfId="0" applyFont="1"/>
    <xf numFmtId="0" fontId="0" fillId="0" borderId="0" xfId="0"/>
    <xf numFmtId="0" fontId="27" fillId="65" borderId="0" xfId="0" applyFont="1" applyFill="1" applyAlignment="1">
      <alignment horizontal="center"/>
    </xf>
    <xf numFmtId="0" fontId="12" fillId="65" borderId="0" xfId="0" applyFont="1" applyFill="1"/>
    <xf numFmtId="0" fontId="10" fillId="61" borderId="0" xfId="0" applyFont="1" applyFill="1" applyAlignment="1">
      <alignment horizontal="center"/>
    </xf>
    <xf numFmtId="0" fontId="29" fillId="63" borderId="0" xfId="0" applyFont="1" applyFill="1" applyAlignment="1">
      <alignment horizontal="center"/>
    </xf>
    <xf numFmtId="0" fontId="11" fillId="63" borderId="0" xfId="0" applyFont="1" applyFill="1" applyAlignment="1">
      <alignment horizontal="center"/>
    </xf>
    <xf numFmtId="0" fontId="2" fillId="0" borderId="0" xfId="0" applyFont="1"/>
    <xf numFmtId="166" fontId="3" fillId="62" borderId="0" xfId="0" applyNumberFormat="1" applyFont="1" applyFill="1"/>
    <xf numFmtId="0" fontId="6" fillId="62" borderId="0" xfId="0" applyFont="1" applyFill="1"/>
    <xf numFmtId="0" fontId="8" fillId="62" borderId="0" xfId="0" applyFont="1" applyFill="1"/>
    <xf numFmtId="0" fontId="13" fillId="65" borderId="0" xfId="0" applyFont="1" applyFill="1"/>
    <xf numFmtId="0" fontId="13" fillId="65" borderId="0" xfId="0" applyFont="1" applyFill="1" applyAlignment="1">
      <alignment horizontal="center"/>
    </xf>
    <xf numFmtId="0" fontId="8" fillId="34" borderId="0" xfId="0" applyFont="1" applyFill="1"/>
    <xf numFmtId="0" fontId="8" fillId="18" borderId="0" xfId="0" applyFont="1" applyFill="1"/>
    <xf numFmtId="0" fontId="1" fillId="17" borderId="0" xfId="0" applyFont="1" applyFill="1"/>
    <xf numFmtId="0" fontId="0" fillId="31" borderId="0" xfId="0" applyFill="1"/>
    <xf numFmtId="0" fontId="0" fillId="26" borderId="0" xfId="0" applyFill="1"/>
    <xf numFmtId="0" fontId="0" fillId="4" borderId="0" xfId="0" applyFill="1"/>
    <xf numFmtId="0" fontId="8" fillId="6" borderId="0" xfId="0" applyFont="1" applyFill="1"/>
    <xf numFmtId="0" fontId="3" fillId="65" borderId="3" xfId="0" applyFont="1" applyFill="1" applyBorder="1"/>
    <xf numFmtId="0" fontId="12" fillId="65" borderId="1" xfId="0" applyFont="1" applyFill="1" applyBorder="1"/>
    <xf numFmtId="0" fontId="12" fillId="65" borderId="6" xfId="0" applyFont="1" applyFill="1" applyBorder="1"/>
    <xf numFmtId="0" fontId="8" fillId="20" borderId="0" xfId="0" applyFont="1" applyFill="1"/>
    <xf numFmtId="0" fontId="0" fillId="20" borderId="0" xfId="0" applyFill="1"/>
    <xf numFmtId="0" fontId="1" fillId="20" borderId="0" xfId="0" applyFont="1" applyFill="1"/>
    <xf numFmtId="165" fontId="0" fillId="20" borderId="0" xfId="0" applyNumberFormat="1" applyFill="1"/>
    <xf numFmtId="0" fontId="8" fillId="8" borderId="0" xfId="0" applyFont="1" applyFill="1"/>
    <xf numFmtId="3" fontId="1" fillId="8" borderId="0" xfId="0" applyNumberFormat="1" applyFont="1" applyFill="1"/>
    <xf numFmtId="166" fontId="1" fillId="8" borderId="0" xfId="0" applyNumberFormat="1" applyFont="1" applyFill="1"/>
    <xf numFmtId="165" fontId="1" fillId="8" borderId="0" xfId="0" applyNumberFormat="1" applyFont="1" applyFill="1"/>
    <xf numFmtId="0" fontId="8" fillId="30" borderId="0" xfId="0" applyFont="1" applyFill="1"/>
    <xf numFmtId="0" fontId="0" fillId="23" borderId="0" xfId="0" applyFill="1"/>
    <xf numFmtId="0" fontId="0" fillId="24" borderId="0" xfId="0" applyFill="1"/>
    <xf numFmtId="0" fontId="8" fillId="13" borderId="0" xfId="0" applyFont="1" applyFill="1"/>
    <xf numFmtId="0" fontId="8" fillId="25" borderId="0" xfId="0" applyFont="1" applyFill="1"/>
    <xf numFmtId="0" fontId="27" fillId="65" borderId="0" xfId="0" applyFont="1" applyFill="1"/>
    <xf numFmtId="0" fontId="12" fillId="61" borderId="0" xfId="0" applyFont="1" applyFill="1"/>
    <xf numFmtId="0" fontId="3" fillId="63" borderId="0" xfId="0" applyFont="1" applyFill="1"/>
    <xf numFmtId="0" fontId="12" fillId="63" borderId="0" xfId="0" applyFont="1" applyFill="1" applyAlignment="1">
      <alignment horizontal="center"/>
    </xf>
    <xf numFmtId="0" fontId="12" fillId="65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/>
    <xf numFmtId="0" fontId="9" fillId="31" borderId="0" xfId="0" applyFont="1" applyFill="1"/>
    <xf numFmtId="0" fontId="8" fillId="15" borderId="0" xfId="0" applyFont="1" applyFill="1"/>
    <xf numFmtId="0" fontId="3" fillId="65" borderId="1" xfId="0" applyFont="1" applyFill="1" applyBorder="1"/>
    <xf numFmtId="0" fontId="3" fillId="65" borderId="6" xfId="0" applyFont="1" applyFill="1" applyBorder="1"/>
    <xf numFmtId="0" fontId="8" fillId="28" borderId="0" xfId="0" applyFont="1" applyFill="1"/>
    <xf numFmtId="165" fontId="3" fillId="62" borderId="0" xfId="0" applyNumberFormat="1" applyFont="1" applyFill="1"/>
    <xf numFmtId="0" fontId="5" fillId="46" borderId="0" xfId="0" applyFont="1" applyFill="1"/>
    <xf numFmtId="0" fontId="0" fillId="46" borderId="0" xfId="0" applyFill="1"/>
    <xf numFmtId="0" fontId="8" fillId="29" borderId="0" xfId="0" applyFont="1" applyFill="1"/>
    <xf numFmtId="0" fontId="8" fillId="42" borderId="0" xfId="0" applyFont="1" applyFill="1"/>
    <xf numFmtId="0" fontId="8" fillId="44" borderId="0" xfId="0" applyFont="1" applyFill="1"/>
    <xf numFmtId="0" fontId="8" fillId="61" borderId="0" xfId="0" applyFont="1" applyFill="1" applyAlignment="1">
      <alignment horizontal="center"/>
    </xf>
    <xf numFmtId="0" fontId="3" fillId="61" borderId="0" xfId="0" applyFont="1" applyFill="1"/>
  </cellXfs>
  <cellStyles count="1">
    <cellStyle name="Normal" xfId="0" builtinId="0"/>
  </cellStyles>
  <dxfs count="9">
    <dxf>
      <font>
        <color rgb="FF808080"/>
      </font>
      <fill>
        <patternFill patternType="solid">
          <fgColor indexed="64"/>
          <bgColor rgb="FFD3D3D3"/>
        </patternFill>
      </fill>
    </dxf>
    <dxf>
      <font>
        <color rgb="FF808080"/>
      </font>
      <fill>
        <patternFill patternType="solid">
          <fgColor indexed="64"/>
          <bgColor rgb="FFD3D3D3"/>
        </patternFill>
      </fill>
    </dxf>
    <dxf>
      <font>
        <sz val="10"/>
        <name val="Segoe UI"/>
      </font>
      <alignment horizontal="center"/>
      <border diagonalUp="0" diagonalDown="0">
        <left/>
        <right/>
        <top style="thin">
          <color rgb="FFE0E0E0"/>
        </top>
        <bottom style="thin">
          <color rgb="FFE0E0E0"/>
        </bottom>
        <vertical/>
        <horizontal style="thin">
          <color rgb="FFE0E0E0"/>
        </horizontal>
      </border>
    </dxf>
    <dxf>
      <font>
        <sz val="10"/>
        <name val="Segoe UI"/>
      </font>
      <alignment horizontal="center"/>
      <border diagonalUp="0" diagonalDown="0">
        <left/>
        <right/>
        <top style="thin">
          <color rgb="FFE0E0E0"/>
        </top>
        <bottom style="thin">
          <color rgb="FFE0E0E0"/>
        </bottom>
        <vertical/>
        <horizontal style="thin">
          <color rgb="FFE0E0E0"/>
        </horizontal>
      </border>
    </dxf>
    <dxf>
      <font>
        <sz val="10"/>
        <name val="Segoe UI"/>
      </font>
      <border diagonalUp="0" diagonalDown="0">
        <left/>
        <right/>
        <top style="thin">
          <color rgb="FFE0E0E0"/>
        </top>
        <bottom style="thin">
          <color rgb="FFE0E0E0"/>
        </bottom>
        <vertical/>
        <horizontal style="thin">
          <color rgb="FFE0E0E0"/>
        </horizontal>
      </border>
    </dxf>
    <dxf>
      <font>
        <sz val="10"/>
        <name val="Segoe UI"/>
      </font>
      <border diagonalUp="0" diagonalDown="0">
        <left/>
        <right/>
        <top style="thin">
          <color rgb="FFE0E0E0"/>
        </top>
        <bottom style="thin">
          <color rgb="FFE0E0E0"/>
        </bottom>
        <vertical/>
        <horizontal style="thin">
          <color rgb="FFE0E0E0"/>
        </horizontal>
      </border>
    </dxf>
    <dxf>
      <font>
        <sz val="10"/>
        <name val="Segoe UI"/>
      </font>
      <border diagonalUp="0" diagonalDown="0">
        <left/>
        <right/>
        <top style="thin">
          <color rgb="FFE0E0E0"/>
        </top>
        <bottom style="thin">
          <color rgb="FFE0E0E0"/>
        </bottom>
        <vertical/>
        <horizontal style="thin">
          <color rgb="FFE0E0E0"/>
        </horizontal>
      </border>
    </dxf>
    <dxf>
      <font>
        <sz val="10"/>
        <name val="Segoe U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 Narrow"/>
        <family val="2"/>
        <scheme val="minor"/>
      </font>
      <fill>
        <patternFill patternType="solid">
          <fgColor indexed="64"/>
          <bgColor rgb="FF2D4FA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0CCC2-AE75-43FF-8C81-99FE9F3FEC9C}" name="ServicesTable" displayName="ServicesTable" ref="A4:E349" totalsRowShown="0" headerRowDxfId="8" dataDxfId="7">
  <autoFilter ref="A4:E349" xr:uid="{A510CCC2-AE75-43FF-8C81-99FE9F3FEC9C}"/>
  <tableColumns count="5">
    <tableColumn id="1" xr3:uid="{BDC84EE1-6644-4DFF-B996-1843C5B15CBE}" name="CATEGORY" dataDxfId="6"/>
    <tableColumn id="2" xr3:uid="{9F902198-4100-48D0-A1FA-C864323791EC}" name="SERVICE" dataDxfId="5"/>
    <tableColumn id="3" xr3:uid="{3591C8DD-AB59-4E01-9F40-13BA2786BDFC}" name="SUB-SERVICES / DELIVERABLES" dataDxfId="4"/>
    <tableColumn id="4" xr3:uid="{4D242C19-5773-482A-9E86-64E2BE87B7E2}" name="$/HR" dataDxfId="3"/>
    <tableColumn id="5" xr3:uid="{B4BA42C7-3097-41A8-98BD-D7BBBC9D2CA5}" name="PROJECT $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5AEE-D026-4FD3-BDE2-D7935D487666}">
  <dimension ref="A1:G39"/>
  <sheetViews>
    <sheetView workbookViewId="0">
      <pane ySplit="2" topLeftCell="A32" activePane="bottomLeft" state="frozen"/>
      <selection pane="bottomLeft" activeCell="B27" sqref="B27"/>
    </sheetView>
  </sheetViews>
  <sheetFormatPr defaultRowHeight="14.5" x14ac:dyDescent="0.35"/>
  <cols>
    <col min="1" max="1" width="32.7265625" customWidth="1"/>
    <col min="2" max="2" width="27.26953125" customWidth="1"/>
    <col min="3" max="3" width="18.1796875" customWidth="1"/>
    <col min="4" max="4" width="11.6328125" customWidth="1"/>
    <col min="5" max="5" width="25.453125" customWidth="1"/>
    <col min="6" max="6" width="18.1796875" customWidth="1"/>
    <col min="7" max="7" width="14.54296875" customWidth="1"/>
    <col min="8" max="8" width="18.1796875" customWidth="1"/>
  </cols>
  <sheetData>
    <row r="1" spans="1:7" ht="40" customHeight="1" x14ac:dyDescent="0.65">
      <c r="A1" s="238" t="s">
        <v>1622</v>
      </c>
      <c r="B1" s="239"/>
      <c r="C1" s="239"/>
      <c r="D1" s="239"/>
      <c r="E1" s="239"/>
      <c r="F1" s="239"/>
      <c r="G1" s="239"/>
    </row>
    <row r="2" spans="1:7" ht="22" customHeight="1" x14ac:dyDescent="0.45">
      <c r="A2" s="240" t="s">
        <v>1623</v>
      </c>
      <c r="B2" s="236"/>
      <c r="C2" s="236"/>
      <c r="D2" s="236"/>
      <c r="E2" s="236"/>
      <c r="F2" s="236"/>
      <c r="G2" s="236"/>
    </row>
    <row r="4" spans="1:7" x14ac:dyDescent="0.35">
      <c r="A4" s="241" t="s">
        <v>1624</v>
      </c>
      <c r="B4" s="241"/>
      <c r="C4" s="241"/>
      <c r="E4" s="241" t="s">
        <v>448</v>
      </c>
      <c r="F4" s="241"/>
      <c r="G4" s="241"/>
    </row>
    <row r="5" spans="1:7" x14ac:dyDescent="0.35">
      <c r="A5" s="151" t="s">
        <v>1591</v>
      </c>
      <c r="B5" s="151" t="s">
        <v>7</v>
      </c>
      <c r="C5" s="151" t="s">
        <v>1625</v>
      </c>
      <c r="E5" s="151" t="s">
        <v>4</v>
      </c>
      <c r="F5" s="151" t="s">
        <v>5</v>
      </c>
      <c r="G5" s="151"/>
    </row>
    <row r="6" spans="1:7" x14ac:dyDescent="0.35">
      <c r="A6" s="105" t="s">
        <v>1626</v>
      </c>
      <c r="B6" s="105" t="s">
        <v>1627</v>
      </c>
      <c r="C6" s="219" t="s">
        <v>1628</v>
      </c>
      <c r="E6" s="105" t="s">
        <v>1595</v>
      </c>
      <c r="F6" s="152" t="s">
        <v>1634</v>
      </c>
      <c r="G6" s="105"/>
    </row>
    <row r="7" spans="1:7" x14ac:dyDescent="0.35">
      <c r="A7" s="105" t="s">
        <v>1629</v>
      </c>
      <c r="B7" s="105" t="s">
        <v>1630</v>
      </c>
      <c r="C7" s="219" t="s">
        <v>1628</v>
      </c>
      <c r="E7" s="105" t="s">
        <v>1635</v>
      </c>
      <c r="F7" s="152" t="s">
        <v>1596</v>
      </c>
      <c r="G7" s="105"/>
    </row>
    <row r="8" spans="1:7" x14ac:dyDescent="0.35">
      <c r="A8" s="105" t="s">
        <v>1631</v>
      </c>
      <c r="B8" s="105" t="s">
        <v>1632</v>
      </c>
      <c r="C8" s="219" t="s">
        <v>1628</v>
      </c>
      <c r="E8" s="105" t="s">
        <v>1636</v>
      </c>
      <c r="F8" s="152">
        <v>13</v>
      </c>
      <c r="G8" s="105"/>
    </row>
    <row r="9" spans="1:7" x14ac:dyDescent="0.35">
      <c r="A9" s="105" t="s">
        <v>1633</v>
      </c>
      <c r="B9" s="105" t="s">
        <v>1592</v>
      </c>
      <c r="C9" s="219" t="s">
        <v>1628</v>
      </c>
      <c r="E9" s="105" t="s">
        <v>1637</v>
      </c>
      <c r="F9" s="152">
        <v>278</v>
      </c>
      <c r="G9" s="105"/>
    </row>
    <row r="10" spans="1:7" x14ac:dyDescent="0.35">
      <c r="A10" s="105" t="s">
        <v>192</v>
      </c>
      <c r="B10" s="105" t="s">
        <v>1593</v>
      </c>
      <c r="C10" s="219" t="s">
        <v>1628</v>
      </c>
      <c r="E10" s="105" t="s">
        <v>1597</v>
      </c>
      <c r="F10" s="153">
        <v>1230</v>
      </c>
      <c r="G10" s="105"/>
    </row>
    <row r="11" spans="1:7" x14ac:dyDescent="0.35">
      <c r="A11" s="105" t="s">
        <v>257</v>
      </c>
      <c r="B11" s="105" t="s">
        <v>1594</v>
      </c>
      <c r="C11" s="219" t="s">
        <v>1628</v>
      </c>
      <c r="E11" s="105" t="s">
        <v>1598</v>
      </c>
      <c r="F11" s="152" t="s">
        <v>1611</v>
      </c>
      <c r="G11" s="105"/>
    </row>
    <row r="12" spans="1:7" x14ac:dyDescent="0.35">
      <c r="A12" s="106" t="s">
        <v>1735</v>
      </c>
      <c r="B12" s="106" t="s">
        <v>1736</v>
      </c>
      <c r="C12" s="220" t="s">
        <v>1628</v>
      </c>
    </row>
    <row r="13" spans="1:7" x14ac:dyDescent="0.35">
      <c r="A13" s="241" t="s">
        <v>1638</v>
      </c>
      <c r="B13" s="242"/>
      <c r="C13" s="242"/>
      <c r="D13" s="242"/>
      <c r="E13" s="242"/>
      <c r="F13" s="242"/>
      <c r="G13" s="242"/>
    </row>
    <row r="14" spans="1:7" x14ac:dyDescent="0.35">
      <c r="A14" s="151" t="s">
        <v>873</v>
      </c>
      <c r="B14" s="151" t="s">
        <v>1599</v>
      </c>
      <c r="C14" s="151" t="s">
        <v>1600</v>
      </c>
      <c r="D14" s="151" t="s">
        <v>962</v>
      </c>
      <c r="E14" s="151" t="s">
        <v>1639</v>
      </c>
      <c r="F14" s="151" t="s">
        <v>112</v>
      </c>
      <c r="G14" s="151" t="s">
        <v>964</v>
      </c>
    </row>
    <row r="15" spans="1:7" x14ac:dyDescent="0.35">
      <c r="A15" s="107" t="s">
        <v>1601</v>
      </c>
      <c r="B15" s="105" t="s">
        <v>1847</v>
      </c>
      <c r="C15" s="105" t="s">
        <v>1859</v>
      </c>
      <c r="D15" s="105" t="s">
        <v>1640</v>
      </c>
      <c r="E15" s="105" t="s">
        <v>970</v>
      </c>
      <c r="F15" s="105" t="s">
        <v>1602</v>
      </c>
      <c r="G15" s="105" t="s">
        <v>1641</v>
      </c>
    </row>
    <row r="16" spans="1:7" x14ac:dyDescent="0.35">
      <c r="A16" s="108" t="s">
        <v>1104</v>
      </c>
      <c r="B16" s="105" t="s">
        <v>1848</v>
      </c>
      <c r="C16" s="105" t="s">
        <v>1860</v>
      </c>
      <c r="D16" s="105" t="s">
        <v>1642</v>
      </c>
      <c r="E16" s="105" t="s">
        <v>975</v>
      </c>
      <c r="F16" s="105" t="s">
        <v>1603</v>
      </c>
      <c r="G16" s="105" t="s">
        <v>856</v>
      </c>
    </row>
    <row r="17" spans="1:7" x14ac:dyDescent="0.35">
      <c r="A17" s="109" t="s">
        <v>86</v>
      </c>
      <c r="B17" s="105" t="s">
        <v>1849</v>
      </c>
      <c r="C17" s="105" t="s">
        <v>1861</v>
      </c>
      <c r="D17" s="105" t="s">
        <v>1643</v>
      </c>
      <c r="E17" s="105" t="s">
        <v>980</v>
      </c>
      <c r="F17" s="105" t="s">
        <v>1604</v>
      </c>
      <c r="G17" s="105" t="s">
        <v>981</v>
      </c>
    </row>
    <row r="18" spans="1:7" x14ac:dyDescent="0.35">
      <c r="A18" s="110" t="s">
        <v>1605</v>
      </c>
      <c r="B18" s="105" t="s">
        <v>1850</v>
      </c>
      <c r="C18" s="105" t="s">
        <v>1862</v>
      </c>
      <c r="D18" s="105" t="s">
        <v>983</v>
      </c>
      <c r="E18" s="105" t="s">
        <v>984</v>
      </c>
      <c r="F18" s="105" t="s">
        <v>1606</v>
      </c>
      <c r="G18" s="105" t="s">
        <v>11</v>
      </c>
    </row>
    <row r="20" spans="1:7" x14ac:dyDescent="0.35">
      <c r="A20" s="241" t="s">
        <v>1644</v>
      </c>
      <c r="B20" s="241"/>
      <c r="C20" s="241"/>
      <c r="E20" s="241" t="s">
        <v>1648</v>
      </c>
      <c r="F20" s="242"/>
      <c r="G20" s="242"/>
    </row>
    <row r="21" spans="1:7" x14ac:dyDescent="0.35">
      <c r="A21" s="111" t="s">
        <v>1645</v>
      </c>
      <c r="B21" s="112"/>
      <c r="C21" s="113"/>
      <c r="E21" s="114" t="s">
        <v>80</v>
      </c>
      <c r="F21" s="114" t="s">
        <v>1649</v>
      </c>
      <c r="G21" s="114" t="s">
        <v>1650</v>
      </c>
    </row>
    <row r="22" spans="1:7" x14ac:dyDescent="0.35">
      <c r="A22" s="115" t="s">
        <v>1646</v>
      </c>
      <c r="C22" s="116" t="s">
        <v>1647</v>
      </c>
      <c r="E22" s="117">
        <v>10</v>
      </c>
      <c r="F22" s="117">
        <v>12</v>
      </c>
      <c r="G22" s="118">
        <v>120</v>
      </c>
    </row>
    <row r="23" spans="1:7" x14ac:dyDescent="0.35">
      <c r="A23" s="119"/>
      <c r="B23" s="120">
        <v>100</v>
      </c>
      <c r="C23" s="39">
        <f>B23*278</f>
        <v>27800</v>
      </c>
      <c r="E23" s="54"/>
      <c r="F23" s="54" t="s">
        <v>1651</v>
      </c>
      <c r="G23" s="40">
        <f>G22*278</f>
        <v>33360</v>
      </c>
    </row>
    <row r="25" spans="1:7" x14ac:dyDescent="0.35">
      <c r="A25" s="241" t="s">
        <v>1652</v>
      </c>
      <c r="B25" s="241"/>
      <c r="C25" s="241"/>
      <c r="D25" s="241"/>
      <c r="E25" s="241"/>
      <c r="F25" s="241"/>
      <c r="G25" s="241"/>
    </row>
    <row r="26" spans="1:7" x14ac:dyDescent="0.35">
      <c r="A26" s="151" t="s">
        <v>704</v>
      </c>
      <c r="B26" s="151" t="s">
        <v>1607</v>
      </c>
      <c r="C26" s="151" t="s">
        <v>17</v>
      </c>
      <c r="D26" s="151" t="s">
        <v>668</v>
      </c>
      <c r="E26" s="151" t="s">
        <v>201</v>
      </c>
      <c r="F26" s="151" t="s">
        <v>670</v>
      </c>
      <c r="G26" s="151" t="s">
        <v>1608</v>
      </c>
    </row>
    <row r="27" spans="1:7" x14ac:dyDescent="0.35">
      <c r="A27" s="105" t="s">
        <v>1609</v>
      </c>
      <c r="B27" s="105" t="s">
        <v>1610</v>
      </c>
      <c r="C27" s="121" t="s">
        <v>36</v>
      </c>
      <c r="D27" s="122">
        <v>1230</v>
      </c>
      <c r="E27" s="105" t="s">
        <v>1611</v>
      </c>
      <c r="F27" s="122">
        <v>14760</v>
      </c>
      <c r="G27" s="105" t="s">
        <v>1612</v>
      </c>
    </row>
    <row r="28" spans="1:7" x14ac:dyDescent="0.35">
      <c r="A28" s="105" t="s">
        <v>192</v>
      </c>
      <c r="B28" s="105" t="s">
        <v>1613</v>
      </c>
      <c r="C28" s="121" t="s">
        <v>196</v>
      </c>
      <c r="D28" s="122">
        <v>1527</v>
      </c>
      <c r="E28" s="105" t="s">
        <v>1614</v>
      </c>
      <c r="F28" s="122">
        <v>18324</v>
      </c>
      <c r="G28" s="105" t="s">
        <v>1615</v>
      </c>
    </row>
    <row r="29" spans="1:7" x14ac:dyDescent="0.35">
      <c r="A29" s="105" t="s">
        <v>257</v>
      </c>
      <c r="B29" s="105" t="s">
        <v>1616</v>
      </c>
      <c r="C29" s="123" t="s">
        <v>1617</v>
      </c>
      <c r="D29" s="122">
        <v>959</v>
      </c>
      <c r="E29" s="105" t="s">
        <v>1618</v>
      </c>
      <c r="F29" s="122">
        <v>11508</v>
      </c>
      <c r="G29" s="105" t="s">
        <v>273</v>
      </c>
    </row>
    <row r="30" spans="1:7" x14ac:dyDescent="0.35">
      <c r="A30" s="124" t="s">
        <v>1653</v>
      </c>
      <c r="B30" s="125"/>
      <c r="C30" s="125"/>
      <c r="D30" s="126">
        <v>3716</v>
      </c>
      <c r="E30" s="127" t="s">
        <v>1654</v>
      </c>
      <c r="F30" s="126">
        <v>44592</v>
      </c>
      <c r="G30" s="125"/>
    </row>
    <row r="32" spans="1:7" x14ac:dyDescent="0.35">
      <c r="A32" s="242" t="s">
        <v>1655</v>
      </c>
      <c r="B32" s="242"/>
      <c r="C32" s="242"/>
      <c r="D32" s="242"/>
      <c r="E32" s="242"/>
      <c r="F32" s="242"/>
      <c r="G32" s="242"/>
    </row>
    <row r="33" spans="1:7" x14ac:dyDescent="0.35">
      <c r="A33" s="243" t="s">
        <v>1656</v>
      </c>
      <c r="B33" s="244"/>
      <c r="C33" s="244"/>
      <c r="D33" s="244"/>
      <c r="E33" s="244"/>
      <c r="F33" s="244"/>
      <c r="G33" s="244"/>
    </row>
    <row r="34" spans="1:7" x14ac:dyDescent="0.35">
      <c r="A34" s="243" t="s">
        <v>1657</v>
      </c>
      <c r="B34" s="244"/>
      <c r="C34" s="244"/>
      <c r="D34" s="244"/>
      <c r="E34" s="244"/>
      <c r="F34" s="244"/>
      <c r="G34" s="244"/>
    </row>
    <row r="35" spans="1:7" x14ac:dyDescent="0.35">
      <c r="A35" s="243" t="s">
        <v>1658</v>
      </c>
      <c r="B35" s="244"/>
      <c r="C35" s="244"/>
      <c r="D35" s="244"/>
      <c r="E35" s="244"/>
      <c r="F35" s="244"/>
      <c r="G35" s="244"/>
    </row>
    <row r="36" spans="1:7" x14ac:dyDescent="0.35">
      <c r="A36" s="243" t="s">
        <v>1659</v>
      </c>
      <c r="B36" s="244"/>
      <c r="C36" s="244"/>
      <c r="D36" s="244"/>
      <c r="E36" s="244"/>
      <c r="F36" s="244"/>
      <c r="G36" s="244"/>
    </row>
    <row r="38" spans="1:7" x14ac:dyDescent="0.35">
      <c r="A38" s="245" t="s">
        <v>1660</v>
      </c>
      <c r="B38" s="246"/>
      <c r="C38" s="246"/>
      <c r="D38" s="246"/>
      <c r="E38" s="246"/>
      <c r="F38" s="246"/>
      <c r="G38" s="246"/>
    </row>
    <row r="39" spans="1:7" x14ac:dyDescent="0.35">
      <c r="A39" s="237" t="s">
        <v>1877</v>
      </c>
      <c r="B39" s="237"/>
      <c r="C39" s="237"/>
      <c r="D39" s="237"/>
      <c r="E39" s="237"/>
      <c r="F39" s="237"/>
      <c r="G39" s="237"/>
    </row>
  </sheetData>
  <mergeCells count="15">
    <mergeCell ref="A39:G39"/>
    <mergeCell ref="A1:G1"/>
    <mergeCell ref="A2:G2"/>
    <mergeCell ref="E4:G4"/>
    <mergeCell ref="A13:G13"/>
    <mergeCell ref="A20:C20"/>
    <mergeCell ref="E20:G20"/>
    <mergeCell ref="A4:C4"/>
    <mergeCell ref="A25:G25"/>
    <mergeCell ref="A34:G34"/>
    <mergeCell ref="A35:G35"/>
    <mergeCell ref="A36:G36"/>
    <mergeCell ref="A38:G38"/>
    <mergeCell ref="A32:G32"/>
    <mergeCell ref="A33:G33"/>
  </mergeCells>
  <pageMargins left="0.7" right="0.7" top="0.75" bottom="0.75" header="0.3" footer="0.3"/>
  <pageSetup paperSize="0" scale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055B-E467-4C67-B712-AD3E72E99D45}">
  <dimension ref="A1:L82"/>
  <sheetViews>
    <sheetView workbookViewId="0">
      <pane ySplit="3" topLeftCell="A10" activePane="bottomLeft" state="frozen"/>
      <selection pane="bottomLeft" activeCell="B6" sqref="B6"/>
    </sheetView>
  </sheetViews>
  <sheetFormatPr defaultRowHeight="14.5" x14ac:dyDescent="0.35"/>
  <cols>
    <col min="1" max="1" width="24.1796875" bestFit="1" customWidth="1"/>
    <col min="2" max="2" width="5.7265625" bestFit="1" customWidth="1"/>
    <col min="3" max="3" width="7.90625" bestFit="1" customWidth="1"/>
    <col min="4" max="4" width="10.81640625" bestFit="1" customWidth="1"/>
    <col min="5" max="5" width="10.90625" bestFit="1" customWidth="1"/>
    <col min="6" max="6" width="13" bestFit="1" customWidth="1"/>
    <col min="7" max="7" width="14.54296875" customWidth="1"/>
    <col min="8" max="8" width="22.90625" bestFit="1" customWidth="1"/>
    <col min="9" max="9" width="5.54296875" bestFit="1" customWidth="1"/>
    <col min="10" max="10" width="7.08984375" bestFit="1" customWidth="1"/>
    <col min="11" max="11" width="9.26953125" bestFit="1" customWidth="1"/>
    <col min="12" max="12" width="13.81640625" bestFit="1" customWidth="1"/>
  </cols>
  <sheetData>
    <row r="1" spans="1:12" ht="35" customHeight="1" x14ac:dyDescent="0.7">
      <c r="A1" s="233" t="s">
        <v>1706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2" ht="22" customHeight="1" x14ac:dyDescent="0.35">
      <c r="A2" s="248" t="s">
        <v>1707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</row>
    <row r="3" spans="1:12" x14ac:dyDescent="0.35">
      <c r="A3" s="50" t="s">
        <v>1620</v>
      </c>
      <c r="B3" s="51" t="s">
        <v>1104</v>
      </c>
      <c r="C3" t="s">
        <v>1621</v>
      </c>
      <c r="D3" s="47">
        <v>9</v>
      </c>
      <c r="J3" t="s">
        <v>696</v>
      </c>
      <c r="K3" s="52">
        <v>278</v>
      </c>
      <c r="L3" t="s">
        <v>586</v>
      </c>
    </row>
    <row r="5" spans="1:12" ht="24" customHeight="1" x14ac:dyDescent="0.35">
      <c r="A5" s="241" t="s">
        <v>754</v>
      </c>
      <c r="B5" s="241"/>
      <c r="C5" s="241"/>
      <c r="D5" s="241"/>
      <c r="E5" s="241"/>
      <c r="F5" s="241"/>
    </row>
    <row r="6" spans="1:12" x14ac:dyDescent="0.35">
      <c r="A6" t="s">
        <v>755</v>
      </c>
      <c r="B6" s="52">
        <v>15</v>
      </c>
      <c r="C6" t="s">
        <v>756</v>
      </c>
      <c r="D6" s="146">
        <f>B6*$K$3</f>
        <v>4170</v>
      </c>
    </row>
    <row r="8" spans="1:12" x14ac:dyDescent="0.35">
      <c r="A8" s="241" t="s">
        <v>757</v>
      </c>
      <c r="B8" s="241"/>
      <c r="C8" s="241"/>
      <c r="D8" s="241"/>
      <c r="E8" s="241"/>
      <c r="F8" s="241"/>
      <c r="H8" s="241" t="s">
        <v>790</v>
      </c>
      <c r="I8" s="241"/>
      <c r="J8" s="241"/>
      <c r="K8" s="241"/>
      <c r="L8" s="241"/>
    </row>
    <row r="9" spans="1:12" x14ac:dyDescent="0.35">
      <c r="A9" s="155" t="s">
        <v>758</v>
      </c>
      <c r="B9" s="155" t="s">
        <v>5</v>
      </c>
      <c r="C9" s="155" t="s">
        <v>759</v>
      </c>
      <c r="D9" s="155" t="s">
        <v>80</v>
      </c>
      <c r="E9" s="155" t="s">
        <v>760</v>
      </c>
      <c r="F9" s="155" t="s">
        <v>761</v>
      </c>
      <c r="H9" s="155" t="s">
        <v>758</v>
      </c>
      <c r="I9" s="155" t="s">
        <v>5</v>
      </c>
      <c r="J9" s="155" t="s">
        <v>791</v>
      </c>
      <c r="K9" s="155" t="s">
        <v>760</v>
      </c>
      <c r="L9" s="155" t="s">
        <v>761</v>
      </c>
    </row>
    <row r="10" spans="1:12" x14ac:dyDescent="0.35">
      <c r="A10" s="54" t="s">
        <v>744</v>
      </c>
      <c r="B10" s="55">
        <v>8</v>
      </c>
      <c r="C10" s="54">
        <v>4</v>
      </c>
      <c r="D10" s="54">
        <f t="shared" ref="D10:D16" si="0">B10*C10</f>
        <v>32</v>
      </c>
      <c r="E10" s="26">
        <f t="shared" ref="E10:E16" si="1">D10*$B$6</f>
        <v>480</v>
      </c>
      <c r="F10" s="147">
        <f t="shared" ref="F10:F16" si="2">E10*$K$3</f>
        <v>133440</v>
      </c>
      <c r="H10" s="54" t="s">
        <v>792</v>
      </c>
      <c r="I10" s="55">
        <v>3</v>
      </c>
      <c r="J10" s="54">
        <f>I10*8</f>
        <v>24</v>
      </c>
      <c r="K10" s="26">
        <f t="shared" ref="K10:K15" si="3">J10*$B$6</f>
        <v>360</v>
      </c>
      <c r="L10" s="147">
        <f t="shared" ref="L10:L15" si="4">K10*$K$3</f>
        <v>100080</v>
      </c>
    </row>
    <row r="11" spans="1:12" x14ac:dyDescent="0.35">
      <c r="A11" s="54" t="s">
        <v>74</v>
      </c>
      <c r="B11" s="55">
        <v>5</v>
      </c>
      <c r="C11" s="54">
        <v>8</v>
      </c>
      <c r="D11" s="54">
        <f t="shared" si="0"/>
        <v>40</v>
      </c>
      <c r="E11" s="26">
        <f t="shared" si="1"/>
        <v>600</v>
      </c>
      <c r="F11" s="147">
        <f t="shared" si="2"/>
        <v>166800</v>
      </c>
      <c r="H11" s="54" t="s">
        <v>793</v>
      </c>
      <c r="I11" s="55">
        <v>1</v>
      </c>
      <c r="J11" s="54">
        <f>I11*6</f>
        <v>6</v>
      </c>
      <c r="K11" s="26">
        <f t="shared" si="3"/>
        <v>90</v>
      </c>
      <c r="L11" s="147">
        <f t="shared" si="4"/>
        <v>25020</v>
      </c>
    </row>
    <row r="12" spans="1:12" x14ac:dyDescent="0.35">
      <c r="A12" s="54" t="s">
        <v>75</v>
      </c>
      <c r="B12" s="55">
        <v>3</v>
      </c>
      <c r="C12" s="54">
        <v>6</v>
      </c>
      <c r="D12" s="54">
        <f t="shared" si="0"/>
        <v>18</v>
      </c>
      <c r="E12" s="26">
        <f t="shared" si="1"/>
        <v>270</v>
      </c>
      <c r="F12" s="147">
        <f t="shared" si="2"/>
        <v>75060</v>
      </c>
      <c r="H12" s="54" t="s">
        <v>794</v>
      </c>
      <c r="I12" s="55">
        <v>2</v>
      </c>
      <c r="J12" s="54">
        <f>I12*10</f>
        <v>20</v>
      </c>
      <c r="K12" s="26">
        <f t="shared" si="3"/>
        <v>300</v>
      </c>
      <c r="L12" s="147">
        <f t="shared" si="4"/>
        <v>83400</v>
      </c>
    </row>
    <row r="13" spans="1:12" x14ac:dyDescent="0.35">
      <c r="A13" s="54" t="s">
        <v>76</v>
      </c>
      <c r="B13" s="55">
        <v>1</v>
      </c>
      <c r="C13" s="54">
        <v>24</v>
      </c>
      <c r="D13" s="54">
        <f t="shared" si="0"/>
        <v>24</v>
      </c>
      <c r="E13" s="26">
        <f t="shared" si="1"/>
        <v>360</v>
      </c>
      <c r="F13" s="147">
        <f t="shared" si="2"/>
        <v>100080</v>
      </c>
      <c r="H13" s="54" t="s">
        <v>795</v>
      </c>
      <c r="I13" s="55">
        <v>1</v>
      </c>
      <c r="J13" s="54">
        <f>I13*8</f>
        <v>8</v>
      </c>
      <c r="K13" s="26">
        <f t="shared" si="3"/>
        <v>120</v>
      </c>
      <c r="L13" s="147">
        <f t="shared" si="4"/>
        <v>33360</v>
      </c>
    </row>
    <row r="14" spans="1:12" x14ac:dyDescent="0.35">
      <c r="A14" s="54" t="s">
        <v>762</v>
      </c>
      <c r="B14" s="55">
        <v>1</v>
      </c>
      <c r="C14" s="54">
        <v>14</v>
      </c>
      <c r="D14" s="54">
        <f t="shared" si="0"/>
        <v>14</v>
      </c>
      <c r="E14" s="26">
        <f t="shared" si="1"/>
        <v>210</v>
      </c>
      <c r="F14" s="147">
        <f t="shared" si="2"/>
        <v>58380</v>
      </c>
      <c r="H14" s="54" t="s">
        <v>796</v>
      </c>
      <c r="I14" s="55">
        <v>0</v>
      </c>
      <c r="J14" s="54">
        <f>I14*16</f>
        <v>0</v>
      </c>
      <c r="K14" s="26">
        <f t="shared" si="3"/>
        <v>0</v>
      </c>
      <c r="L14" s="147">
        <f t="shared" si="4"/>
        <v>0</v>
      </c>
    </row>
    <row r="15" spans="1:12" x14ac:dyDescent="0.35">
      <c r="A15" s="54" t="s">
        <v>763</v>
      </c>
      <c r="B15" s="55">
        <v>0</v>
      </c>
      <c r="C15" s="54">
        <v>18</v>
      </c>
      <c r="D15" s="54">
        <f t="shared" si="0"/>
        <v>0</v>
      </c>
      <c r="E15" s="26">
        <f t="shared" si="1"/>
        <v>0</v>
      </c>
      <c r="F15" s="147">
        <f t="shared" si="2"/>
        <v>0</v>
      </c>
      <c r="H15" s="54" t="s">
        <v>797</v>
      </c>
      <c r="I15" s="55">
        <v>1</v>
      </c>
      <c r="J15" s="54">
        <f>I15*4</f>
        <v>4</v>
      </c>
      <c r="K15" s="26">
        <f t="shared" si="3"/>
        <v>60</v>
      </c>
      <c r="L15" s="147">
        <f t="shared" si="4"/>
        <v>16680</v>
      </c>
    </row>
    <row r="16" spans="1:12" x14ac:dyDescent="0.35">
      <c r="A16" s="54" t="s">
        <v>77</v>
      </c>
      <c r="B16" s="55">
        <v>1</v>
      </c>
      <c r="C16" s="54">
        <v>12</v>
      </c>
      <c r="D16" s="54">
        <f t="shared" si="0"/>
        <v>12</v>
      </c>
      <c r="E16" s="26">
        <f t="shared" si="1"/>
        <v>180</v>
      </c>
      <c r="F16" s="147">
        <f t="shared" si="2"/>
        <v>50040</v>
      </c>
      <c r="H16" s="158" t="s">
        <v>798</v>
      </c>
      <c r="I16" s="158"/>
      <c r="J16" s="158"/>
      <c r="K16" s="159">
        <f>SUM(K10:K15)</f>
        <v>930</v>
      </c>
      <c r="L16" s="160">
        <f>SUM(L10:L15)</f>
        <v>258540</v>
      </c>
    </row>
    <row r="17" spans="1:12" x14ac:dyDescent="0.35">
      <c r="A17" s="158" t="s">
        <v>764</v>
      </c>
      <c r="B17" s="158"/>
      <c r="C17" s="158"/>
      <c r="D17" s="158">
        <f>SUM(D10:D16)</f>
        <v>140</v>
      </c>
      <c r="E17" s="159">
        <f>SUM(E10:E16)</f>
        <v>2100</v>
      </c>
      <c r="F17" s="160">
        <f>SUM(F10:F16)</f>
        <v>583800</v>
      </c>
      <c r="K17" s="20"/>
    </row>
    <row r="18" spans="1:12" x14ac:dyDescent="0.35">
      <c r="A18" s="54" t="s">
        <v>745</v>
      </c>
      <c r="B18" s="54"/>
      <c r="C18" s="54"/>
      <c r="D18" s="54">
        <f>D17*0.15</f>
        <v>21</v>
      </c>
      <c r="E18" s="26">
        <f>E17*0.15</f>
        <v>315</v>
      </c>
      <c r="F18" s="147">
        <f>F17*0.15</f>
        <v>87570</v>
      </c>
      <c r="H18" s="241" t="s">
        <v>799</v>
      </c>
      <c r="I18" s="241"/>
      <c r="J18" s="241"/>
      <c r="K18" s="251"/>
      <c r="L18" s="241"/>
    </row>
    <row r="19" spans="1:12" x14ac:dyDescent="0.35">
      <c r="A19" s="54" t="s">
        <v>765</v>
      </c>
      <c r="B19" s="54"/>
      <c r="C19" s="54"/>
      <c r="D19" s="54">
        <f>D17*0.1</f>
        <v>14</v>
      </c>
      <c r="E19" s="26">
        <f>E17*0.1</f>
        <v>210</v>
      </c>
      <c r="F19" s="147">
        <f>F17*0.1</f>
        <v>58380</v>
      </c>
      <c r="H19" s="155" t="s">
        <v>758</v>
      </c>
      <c r="I19" s="155" t="s">
        <v>5</v>
      </c>
      <c r="J19" s="155" t="s">
        <v>791</v>
      </c>
      <c r="K19" s="156" t="s">
        <v>760</v>
      </c>
      <c r="L19" s="155" t="s">
        <v>761</v>
      </c>
    </row>
    <row r="20" spans="1:12" x14ac:dyDescent="0.35">
      <c r="A20" s="158" t="s">
        <v>766</v>
      </c>
      <c r="B20" s="158"/>
      <c r="C20" s="158"/>
      <c r="D20" s="158">
        <f>D17+D18+D19</f>
        <v>175</v>
      </c>
      <c r="E20" s="159">
        <f>E17+E18+E19</f>
        <v>2625</v>
      </c>
      <c r="F20" s="160">
        <f>F17+F18+F19</f>
        <v>729750</v>
      </c>
      <c r="H20" s="54" t="s">
        <v>800</v>
      </c>
      <c r="I20" s="55">
        <v>1</v>
      </c>
      <c r="J20" s="54">
        <f>I20*16</f>
        <v>16</v>
      </c>
      <c r="K20" s="26">
        <f t="shared" ref="K20:K25" si="5">J20*$B$6</f>
        <v>240</v>
      </c>
      <c r="L20" s="147">
        <f t="shared" ref="L20:L25" si="6">K20*$K$3</f>
        <v>66720</v>
      </c>
    </row>
    <row r="21" spans="1:12" x14ac:dyDescent="0.35">
      <c r="E21" s="20"/>
      <c r="H21" s="54" t="s">
        <v>801</v>
      </c>
      <c r="I21" s="55">
        <v>1</v>
      </c>
      <c r="J21" s="54">
        <f>I21*12</f>
        <v>12</v>
      </c>
      <c r="K21" s="26">
        <f t="shared" si="5"/>
        <v>180</v>
      </c>
      <c r="L21" s="147">
        <f t="shared" si="6"/>
        <v>50040</v>
      </c>
    </row>
    <row r="22" spans="1:12" x14ac:dyDescent="0.35">
      <c r="A22" s="241" t="s">
        <v>767</v>
      </c>
      <c r="B22" s="241"/>
      <c r="C22" s="241"/>
      <c r="D22" s="241"/>
      <c r="E22" s="251"/>
      <c r="F22" s="241"/>
      <c r="H22" s="54" t="s">
        <v>802</v>
      </c>
      <c r="I22" s="55">
        <v>1</v>
      </c>
      <c r="J22" s="54">
        <f>I22*8</f>
        <v>8</v>
      </c>
      <c r="K22" s="26">
        <f t="shared" si="5"/>
        <v>120</v>
      </c>
      <c r="L22" s="147">
        <f t="shared" si="6"/>
        <v>33360</v>
      </c>
    </row>
    <row r="23" spans="1:12" ht="24" customHeight="1" x14ac:dyDescent="0.35">
      <c r="A23" s="155" t="s">
        <v>758</v>
      </c>
      <c r="B23" s="155" t="s">
        <v>5</v>
      </c>
      <c r="C23" s="155" t="s">
        <v>759</v>
      </c>
      <c r="D23" s="155" t="s">
        <v>80</v>
      </c>
      <c r="E23" s="156" t="s">
        <v>760</v>
      </c>
      <c r="F23" s="155" t="s">
        <v>761</v>
      </c>
      <c r="H23" s="54" t="s">
        <v>803</v>
      </c>
      <c r="I23" s="55">
        <v>0</v>
      </c>
      <c r="J23" s="54">
        <f>I23*24</f>
        <v>0</v>
      </c>
      <c r="K23" s="26">
        <f t="shared" si="5"/>
        <v>0</v>
      </c>
      <c r="L23" s="147">
        <f t="shared" si="6"/>
        <v>0</v>
      </c>
    </row>
    <row r="24" spans="1:12" x14ac:dyDescent="0.35">
      <c r="A24" s="54" t="s">
        <v>768</v>
      </c>
      <c r="B24" s="55">
        <v>15</v>
      </c>
      <c r="C24" s="54">
        <v>6</v>
      </c>
      <c r="D24" s="54">
        <f t="shared" ref="D24:D29" si="7">B24*C24</f>
        <v>90</v>
      </c>
      <c r="E24" s="26">
        <f t="shared" ref="E24:E29" si="8">D24*$B$6</f>
        <v>1350</v>
      </c>
      <c r="F24" s="147">
        <f t="shared" ref="F24:F29" si="9">E24*$K$3</f>
        <v>375300</v>
      </c>
      <c r="H24" s="54" t="s">
        <v>804</v>
      </c>
      <c r="I24" s="55">
        <v>1</v>
      </c>
      <c r="J24" s="54">
        <f>I24*6</f>
        <v>6</v>
      </c>
      <c r="K24" s="26">
        <f t="shared" si="5"/>
        <v>90</v>
      </c>
      <c r="L24" s="147">
        <f t="shared" si="6"/>
        <v>25020</v>
      </c>
    </row>
    <row r="25" spans="1:12" x14ac:dyDescent="0.35">
      <c r="A25" s="54" t="s">
        <v>93</v>
      </c>
      <c r="B25" s="55">
        <v>10</v>
      </c>
      <c r="C25" s="54">
        <v>4</v>
      </c>
      <c r="D25" s="54">
        <f t="shared" si="7"/>
        <v>40</v>
      </c>
      <c r="E25" s="26">
        <f t="shared" si="8"/>
        <v>600</v>
      </c>
      <c r="F25" s="147">
        <f t="shared" si="9"/>
        <v>166800</v>
      </c>
      <c r="H25" s="54" t="s">
        <v>805</v>
      </c>
      <c r="I25" s="55">
        <v>1</v>
      </c>
      <c r="J25" s="54">
        <f>I25*8</f>
        <v>8</v>
      </c>
      <c r="K25" s="26">
        <f t="shared" si="5"/>
        <v>120</v>
      </c>
      <c r="L25" s="147">
        <f t="shared" si="6"/>
        <v>33360</v>
      </c>
    </row>
    <row r="26" spans="1:12" x14ac:dyDescent="0.35">
      <c r="A26" s="54" t="s">
        <v>769</v>
      </c>
      <c r="B26" s="55">
        <v>1</v>
      </c>
      <c r="C26" s="54">
        <v>12</v>
      </c>
      <c r="D26" s="54">
        <f t="shared" si="7"/>
        <v>12</v>
      </c>
      <c r="E26" s="26">
        <f t="shared" si="8"/>
        <v>180</v>
      </c>
      <c r="F26" s="147">
        <f t="shared" si="9"/>
        <v>50040</v>
      </c>
      <c r="H26" s="158" t="s">
        <v>806</v>
      </c>
      <c r="I26" s="158"/>
      <c r="J26" s="158"/>
      <c r="K26" s="159">
        <f>SUM(K20:K25)</f>
        <v>750</v>
      </c>
      <c r="L26" s="160">
        <f>SUM(L20:L25)</f>
        <v>208500</v>
      </c>
    </row>
    <row r="27" spans="1:12" x14ac:dyDescent="0.35">
      <c r="A27" s="54" t="s">
        <v>770</v>
      </c>
      <c r="B27" s="55">
        <v>1</v>
      </c>
      <c r="C27" s="54">
        <v>16</v>
      </c>
      <c r="D27" s="54">
        <f t="shared" si="7"/>
        <v>16</v>
      </c>
      <c r="E27" s="26">
        <f t="shared" si="8"/>
        <v>240</v>
      </c>
      <c r="F27" s="147">
        <f t="shared" si="9"/>
        <v>66720</v>
      </c>
      <c r="K27" s="20"/>
    </row>
    <row r="28" spans="1:12" x14ac:dyDescent="0.35">
      <c r="A28" s="54" t="s">
        <v>771</v>
      </c>
      <c r="B28" s="55">
        <v>0</v>
      </c>
      <c r="C28" s="54">
        <v>20</v>
      </c>
      <c r="D28" s="54">
        <f t="shared" si="7"/>
        <v>0</v>
      </c>
      <c r="E28" s="26">
        <f t="shared" si="8"/>
        <v>0</v>
      </c>
      <c r="F28" s="147">
        <f t="shared" si="9"/>
        <v>0</v>
      </c>
      <c r="H28" s="241" t="s">
        <v>807</v>
      </c>
      <c r="I28" s="241"/>
      <c r="J28" s="241"/>
      <c r="K28" s="251"/>
      <c r="L28" s="241"/>
    </row>
    <row r="29" spans="1:12" x14ac:dyDescent="0.35">
      <c r="A29" s="54" t="s">
        <v>772</v>
      </c>
      <c r="B29" s="55">
        <v>0</v>
      </c>
      <c r="C29" s="54">
        <v>24</v>
      </c>
      <c r="D29" s="54">
        <f t="shared" si="7"/>
        <v>0</v>
      </c>
      <c r="E29" s="26">
        <f t="shared" si="8"/>
        <v>0</v>
      </c>
      <c r="F29" s="147">
        <f t="shared" si="9"/>
        <v>0</v>
      </c>
      <c r="H29" s="155" t="s">
        <v>758</v>
      </c>
      <c r="I29" s="155" t="s">
        <v>5</v>
      </c>
      <c r="J29" s="155" t="s">
        <v>791</v>
      </c>
      <c r="K29" s="156" t="s">
        <v>760</v>
      </c>
      <c r="L29" s="155" t="s">
        <v>761</v>
      </c>
    </row>
    <row r="30" spans="1:12" x14ac:dyDescent="0.35">
      <c r="A30" s="54" t="s">
        <v>764</v>
      </c>
      <c r="B30" s="54"/>
      <c r="C30" s="54"/>
      <c r="D30" s="54">
        <f>SUM(D24:D29)</f>
        <v>158</v>
      </c>
      <c r="E30" s="37">
        <f>SUM(E24:E29)</f>
        <v>2370</v>
      </c>
      <c r="F30" s="148">
        <f>SUM(F24:F29)</f>
        <v>658860</v>
      </c>
      <c r="H30" s="54" t="s">
        <v>808</v>
      </c>
      <c r="I30" s="55">
        <v>10</v>
      </c>
      <c r="J30" s="54">
        <f>I30*2</f>
        <v>20</v>
      </c>
      <c r="K30" s="26">
        <f t="shared" ref="K30:K35" si="10">J30*$B$6</f>
        <v>300</v>
      </c>
      <c r="L30" s="147">
        <f t="shared" ref="L30:L35" si="11">K30*$K$3</f>
        <v>83400</v>
      </c>
    </row>
    <row r="31" spans="1:12" x14ac:dyDescent="0.35">
      <c r="A31" s="54" t="s">
        <v>745</v>
      </c>
      <c r="B31" s="54"/>
      <c r="C31" s="54"/>
      <c r="D31" s="54">
        <f>D30*0.15</f>
        <v>23.7</v>
      </c>
      <c r="E31" s="26">
        <f>E30*0.15</f>
        <v>355.5</v>
      </c>
      <c r="F31" s="147">
        <f>F30*0.15</f>
        <v>98829</v>
      </c>
      <c r="H31" s="54" t="s">
        <v>809</v>
      </c>
      <c r="I31" s="55">
        <v>10</v>
      </c>
      <c r="J31" s="54">
        <f>I31*4</f>
        <v>40</v>
      </c>
      <c r="K31" s="26">
        <f t="shared" si="10"/>
        <v>600</v>
      </c>
      <c r="L31" s="147">
        <f t="shared" si="11"/>
        <v>166800</v>
      </c>
    </row>
    <row r="32" spans="1:12" x14ac:dyDescent="0.35">
      <c r="A32" s="54" t="s">
        <v>765</v>
      </c>
      <c r="B32" s="54"/>
      <c r="C32" s="54"/>
      <c r="D32" s="54">
        <f>D30*0.1</f>
        <v>15.8</v>
      </c>
      <c r="E32" s="26">
        <f>E30*0.1</f>
        <v>237</v>
      </c>
      <c r="F32" s="147">
        <f>F30*0.1</f>
        <v>65886</v>
      </c>
      <c r="H32" s="54" t="s">
        <v>810</v>
      </c>
      <c r="I32" s="55">
        <v>1</v>
      </c>
      <c r="J32" s="54">
        <f>I32*16</f>
        <v>16</v>
      </c>
      <c r="K32" s="26">
        <f t="shared" si="10"/>
        <v>240</v>
      </c>
      <c r="L32" s="147">
        <f t="shared" si="11"/>
        <v>66720</v>
      </c>
    </row>
    <row r="33" spans="1:12" x14ac:dyDescent="0.35">
      <c r="A33" s="158" t="s">
        <v>773</v>
      </c>
      <c r="B33" s="158"/>
      <c r="C33" s="158"/>
      <c r="D33" s="158">
        <f>D30+D31+D32</f>
        <v>197.5</v>
      </c>
      <c r="E33" s="159">
        <f>E30+E31+E32</f>
        <v>2962.5</v>
      </c>
      <c r="F33" s="160">
        <f>F30+F31+F32</f>
        <v>823575</v>
      </c>
      <c r="H33" s="54" t="s">
        <v>811</v>
      </c>
      <c r="I33" s="55">
        <v>1</v>
      </c>
      <c r="J33" s="54">
        <f>I33*20</f>
        <v>20</v>
      </c>
      <c r="K33" s="26">
        <f t="shared" si="10"/>
        <v>300</v>
      </c>
      <c r="L33" s="147">
        <f t="shared" si="11"/>
        <v>83400</v>
      </c>
    </row>
    <row r="34" spans="1:12" x14ac:dyDescent="0.35">
      <c r="E34" s="20"/>
      <c r="H34" s="54" t="s">
        <v>812</v>
      </c>
      <c r="I34" s="55">
        <v>0</v>
      </c>
      <c r="J34" s="54">
        <f>I34*24</f>
        <v>0</v>
      </c>
      <c r="K34" s="26">
        <f t="shared" si="10"/>
        <v>0</v>
      </c>
      <c r="L34" s="147">
        <f t="shared" si="11"/>
        <v>0</v>
      </c>
    </row>
    <row r="35" spans="1:12" x14ac:dyDescent="0.35">
      <c r="A35" s="241" t="s">
        <v>774</v>
      </c>
      <c r="B35" s="241"/>
      <c r="C35" s="241"/>
      <c r="D35" s="241"/>
      <c r="E35" s="251"/>
      <c r="F35" s="241"/>
      <c r="H35" s="54" t="s">
        <v>813</v>
      </c>
      <c r="I35" s="55">
        <v>0</v>
      </c>
      <c r="J35" s="54">
        <f>I35*16</f>
        <v>0</v>
      </c>
      <c r="K35" s="26">
        <f t="shared" si="10"/>
        <v>0</v>
      </c>
      <c r="L35" s="147">
        <f t="shared" si="11"/>
        <v>0</v>
      </c>
    </row>
    <row r="36" spans="1:12" x14ac:dyDescent="0.35">
      <c r="A36" s="155" t="s">
        <v>758</v>
      </c>
      <c r="B36" s="155" t="s">
        <v>5</v>
      </c>
      <c r="C36" s="155" t="s">
        <v>759</v>
      </c>
      <c r="D36" s="155" t="s">
        <v>80</v>
      </c>
      <c r="E36" s="156" t="s">
        <v>760</v>
      </c>
      <c r="F36" s="155" t="s">
        <v>761</v>
      </c>
      <c r="H36" s="158" t="s">
        <v>814</v>
      </c>
      <c r="I36" s="158"/>
      <c r="J36" s="158"/>
      <c r="K36" s="159">
        <f>SUM(K30:K35)</f>
        <v>1440</v>
      </c>
      <c r="L36" s="160">
        <f>SUM(L30:L35)</f>
        <v>400320</v>
      </c>
    </row>
    <row r="37" spans="1:12" x14ac:dyDescent="0.35">
      <c r="A37" s="54" t="s">
        <v>775</v>
      </c>
      <c r="B37" s="55">
        <v>1</v>
      </c>
      <c r="C37" s="54">
        <v>40</v>
      </c>
      <c r="D37" s="54">
        <f t="shared" ref="D37:D42" si="12">B37*C37</f>
        <v>40</v>
      </c>
      <c r="E37" s="26">
        <f t="shared" ref="E37:E42" si="13">D37*$B$6</f>
        <v>600</v>
      </c>
      <c r="F37" s="147">
        <f t="shared" ref="F37:F42" si="14">E37*$K$3</f>
        <v>166800</v>
      </c>
      <c r="K37" s="20"/>
    </row>
    <row r="38" spans="1:12" ht="24" customHeight="1" x14ac:dyDescent="0.35">
      <c r="A38" s="54" t="s">
        <v>776</v>
      </c>
      <c r="B38" s="55">
        <v>1</v>
      </c>
      <c r="C38" s="54">
        <v>60</v>
      </c>
      <c r="D38" s="54">
        <f t="shared" si="12"/>
        <v>60</v>
      </c>
      <c r="E38" s="26">
        <f t="shared" si="13"/>
        <v>900</v>
      </c>
      <c r="F38" s="147">
        <f t="shared" si="14"/>
        <v>250200</v>
      </c>
      <c r="H38" s="241" t="s">
        <v>815</v>
      </c>
      <c r="I38" s="241"/>
      <c r="J38" s="241"/>
      <c r="K38" s="251"/>
      <c r="L38" s="241"/>
    </row>
    <row r="39" spans="1:12" x14ac:dyDescent="0.35">
      <c r="A39" s="54" t="s">
        <v>777</v>
      </c>
      <c r="B39" s="55">
        <v>1</v>
      </c>
      <c r="C39" s="54">
        <v>30</v>
      </c>
      <c r="D39" s="54">
        <f t="shared" si="12"/>
        <v>30</v>
      </c>
      <c r="E39" s="26">
        <f t="shared" si="13"/>
        <v>450</v>
      </c>
      <c r="F39" s="147">
        <f t="shared" si="14"/>
        <v>125100</v>
      </c>
      <c r="H39" s="155" t="s">
        <v>758</v>
      </c>
      <c r="I39" s="155" t="s">
        <v>5</v>
      </c>
      <c r="J39" s="155" t="s">
        <v>791</v>
      </c>
      <c r="K39" s="156" t="s">
        <v>760</v>
      </c>
      <c r="L39" s="155" t="s">
        <v>761</v>
      </c>
    </row>
    <row r="40" spans="1:12" x14ac:dyDescent="0.35">
      <c r="A40" s="54" t="s">
        <v>778</v>
      </c>
      <c r="B40" s="55">
        <v>1</v>
      </c>
      <c r="C40" s="54">
        <v>20</v>
      </c>
      <c r="D40" s="54">
        <f t="shared" si="12"/>
        <v>20</v>
      </c>
      <c r="E40" s="26">
        <f t="shared" si="13"/>
        <v>300</v>
      </c>
      <c r="F40" s="147">
        <f t="shared" si="14"/>
        <v>83400</v>
      </c>
      <c r="H40" s="54" t="s">
        <v>816</v>
      </c>
      <c r="I40" s="55">
        <v>1</v>
      </c>
      <c r="J40" s="54">
        <f>I40*2</f>
        <v>2</v>
      </c>
      <c r="K40" s="26">
        <f>J40*$B$6</f>
        <v>30</v>
      </c>
      <c r="L40" s="147">
        <f>K40*$K$3</f>
        <v>8340</v>
      </c>
    </row>
    <row r="41" spans="1:12" x14ac:dyDescent="0.35">
      <c r="A41" s="54" t="s">
        <v>779</v>
      </c>
      <c r="B41" s="55">
        <v>1</v>
      </c>
      <c r="C41" s="54">
        <v>24</v>
      </c>
      <c r="D41" s="54">
        <f t="shared" si="12"/>
        <v>24</v>
      </c>
      <c r="E41" s="26">
        <f t="shared" si="13"/>
        <v>360</v>
      </c>
      <c r="F41" s="147">
        <f t="shared" si="14"/>
        <v>100080</v>
      </c>
      <c r="H41" s="54" t="s">
        <v>817</v>
      </c>
      <c r="I41" s="55">
        <v>1</v>
      </c>
      <c r="J41" s="54">
        <f>I41*8</f>
        <v>8</v>
      </c>
      <c r="K41" s="26">
        <f>J41*$B$6</f>
        <v>120</v>
      </c>
      <c r="L41" s="147">
        <f>K41*$K$3</f>
        <v>33360</v>
      </c>
    </row>
    <row r="42" spans="1:12" x14ac:dyDescent="0.35">
      <c r="A42" s="54" t="s">
        <v>780</v>
      </c>
      <c r="B42" s="55">
        <v>0</v>
      </c>
      <c r="C42" s="54">
        <v>50</v>
      </c>
      <c r="D42" s="54">
        <f t="shared" si="12"/>
        <v>0</v>
      </c>
      <c r="E42" s="26">
        <f t="shared" si="13"/>
        <v>0</v>
      </c>
      <c r="F42" s="147">
        <f t="shared" si="14"/>
        <v>0</v>
      </c>
      <c r="H42" s="54" t="s">
        <v>818</v>
      </c>
      <c r="I42" s="55">
        <v>1</v>
      </c>
      <c r="J42" s="54">
        <f>I42*6</f>
        <v>6</v>
      </c>
      <c r="K42" s="26">
        <f>J42*$B$6</f>
        <v>90</v>
      </c>
      <c r="L42" s="147">
        <f>K42*$K$3</f>
        <v>25020</v>
      </c>
    </row>
    <row r="43" spans="1:12" x14ac:dyDescent="0.35">
      <c r="A43" s="54" t="s">
        <v>764</v>
      </c>
      <c r="B43" s="54"/>
      <c r="C43" s="54"/>
      <c r="D43" s="54">
        <f>SUM(D37:D42)</f>
        <v>174</v>
      </c>
      <c r="E43" s="37">
        <f>SUM(E37:E42)</f>
        <v>2610</v>
      </c>
      <c r="F43" s="148">
        <f>SUM(F37:F42)</f>
        <v>725580</v>
      </c>
      <c r="H43" s="54" t="s">
        <v>819</v>
      </c>
      <c r="I43" s="55">
        <v>2</v>
      </c>
      <c r="J43" s="54">
        <f>I43*4</f>
        <v>8</v>
      </c>
      <c r="K43" s="26">
        <f>J43*$B$6</f>
        <v>120</v>
      </c>
      <c r="L43" s="147">
        <f>K43*$K$3</f>
        <v>33360</v>
      </c>
    </row>
    <row r="44" spans="1:12" x14ac:dyDescent="0.35">
      <c r="A44" s="54" t="s">
        <v>745</v>
      </c>
      <c r="B44" s="54"/>
      <c r="C44" s="54"/>
      <c r="D44" s="54">
        <f>D43*0.15</f>
        <v>26.099999999999998</v>
      </c>
      <c r="E44" s="26">
        <f>E43*0.15</f>
        <v>391.5</v>
      </c>
      <c r="F44" s="147">
        <f>F43*0.15</f>
        <v>108837</v>
      </c>
      <c r="H44" s="54" t="s">
        <v>820</v>
      </c>
      <c r="I44" s="55">
        <v>1</v>
      </c>
      <c r="J44" s="54">
        <f>I44*8</f>
        <v>8</v>
      </c>
      <c r="K44" s="26">
        <f>J44*$B$6</f>
        <v>120</v>
      </c>
      <c r="L44" s="147">
        <f>K44*$K$3</f>
        <v>33360</v>
      </c>
    </row>
    <row r="45" spans="1:12" x14ac:dyDescent="0.35">
      <c r="A45" s="54" t="s">
        <v>781</v>
      </c>
      <c r="B45" s="54"/>
      <c r="C45" s="54"/>
      <c r="D45" s="54">
        <f>D43*0.15</f>
        <v>26.099999999999998</v>
      </c>
      <c r="E45" s="26">
        <f>E43*0.15</f>
        <v>391.5</v>
      </c>
      <c r="F45" s="147">
        <f>F43*0.15</f>
        <v>108837</v>
      </c>
      <c r="H45" s="158" t="s">
        <v>821</v>
      </c>
      <c r="I45" s="158"/>
      <c r="J45" s="158"/>
      <c r="K45" s="159">
        <f>SUM(K40:K44)</f>
        <v>480</v>
      </c>
      <c r="L45" s="160">
        <f>SUM(L40:L44)</f>
        <v>133440</v>
      </c>
    </row>
    <row r="46" spans="1:12" x14ac:dyDescent="0.35">
      <c r="A46" s="158" t="s">
        <v>782</v>
      </c>
      <c r="B46" s="158"/>
      <c r="C46" s="158"/>
      <c r="D46" s="158">
        <f>D43+D44+D45</f>
        <v>226.2</v>
      </c>
      <c r="E46" s="159">
        <f>E43+E44+E45</f>
        <v>3393</v>
      </c>
      <c r="F46" s="160">
        <f>F43+F44+F45</f>
        <v>943254</v>
      </c>
      <c r="K46" s="20"/>
    </row>
    <row r="47" spans="1:12" ht="18.5" x14ac:dyDescent="0.45">
      <c r="E47" s="20"/>
      <c r="H47" s="252" t="s">
        <v>822</v>
      </c>
      <c r="I47" s="241"/>
      <c r="J47" s="241"/>
      <c r="K47" s="251"/>
      <c r="L47" s="241"/>
    </row>
    <row r="48" spans="1:12" x14ac:dyDescent="0.35">
      <c r="A48" s="241" t="s">
        <v>783</v>
      </c>
      <c r="B48" s="241"/>
      <c r="C48" s="241"/>
      <c r="D48" s="241"/>
      <c r="E48" s="251"/>
      <c r="F48" s="241"/>
      <c r="H48" s="155" t="s">
        <v>72</v>
      </c>
      <c r="I48" s="155"/>
      <c r="J48" s="155"/>
      <c r="K48" s="156" t="s">
        <v>823</v>
      </c>
      <c r="L48" s="155" t="s">
        <v>824</v>
      </c>
    </row>
    <row r="49" spans="1:12" x14ac:dyDescent="0.35">
      <c r="A49" s="155" t="s">
        <v>758</v>
      </c>
      <c r="B49" s="155" t="s">
        <v>5</v>
      </c>
      <c r="C49" s="155" t="s">
        <v>759</v>
      </c>
      <c r="D49" s="155" t="s">
        <v>80</v>
      </c>
      <c r="E49" s="156" t="s">
        <v>760</v>
      </c>
      <c r="F49" s="155" t="s">
        <v>761</v>
      </c>
      <c r="H49" s="54" t="s">
        <v>825</v>
      </c>
      <c r="I49" s="54"/>
      <c r="J49" s="54"/>
      <c r="K49" s="26">
        <f>E20</f>
        <v>2625</v>
      </c>
      <c r="L49" s="147">
        <f>F20</f>
        <v>729750</v>
      </c>
    </row>
    <row r="50" spans="1:12" x14ac:dyDescent="0.35">
      <c r="A50" s="54" t="s">
        <v>92</v>
      </c>
      <c r="B50" s="55">
        <v>50</v>
      </c>
      <c r="C50" s="54">
        <v>2</v>
      </c>
      <c r="D50" s="54">
        <f t="shared" ref="D50:D57" si="15">B50*C50</f>
        <v>100</v>
      </c>
      <c r="E50" s="26">
        <f t="shared" ref="E50:E57" si="16">D50*$B$6</f>
        <v>1500</v>
      </c>
      <c r="F50" s="147">
        <f t="shared" ref="F50:F57" si="17">E50*$K$3</f>
        <v>417000</v>
      </c>
      <c r="H50" s="54" t="s">
        <v>826</v>
      </c>
      <c r="I50" s="54"/>
      <c r="J50" s="54"/>
      <c r="K50" s="26">
        <f>E33</f>
        <v>2962.5</v>
      </c>
      <c r="L50" s="147">
        <f>F33</f>
        <v>823575</v>
      </c>
    </row>
    <row r="51" spans="1:12" x14ac:dyDescent="0.35">
      <c r="A51" s="54" t="s">
        <v>784</v>
      </c>
      <c r="B51" s="55">
        <v>10</v>
      </c>
      <c r="C51" s="54">
        <v>3</v>
      </c>
      <c r="D51" s="54">
        <f t="shared" si="15"/>
        <v>30</v>
      </c>
      <c r="E51" s="26">
        <f t="shared" si="16"/>
        <v>450</v>
      </c>
      <c r="F51" s="147">
        <f t="shared" si="17"/>
        <v>125100</v>
      </c>
      <c r="H51" s="54" t="s">
        <v>827</v>
      </c>
      <c r="I51" s="54"/>
      <c r="J51" s="54"/>
      <c r="K51" s="26">
        <f>E46</f>
        <v>3393</v>
      </c>
      <c r="L51" s="147">
        <f>F46</f>
        <v>943254</v>
      </c>
    </row>
    <row r="52" spans="1:12" x14ac:dyDescent="0.35">
      <c r="A52" s="54" t="s">
        <v>785</v>
      </c>
      <c r="B52" s="55">
        <v>1</v>
      </c>
      <c r="C52" s="54">
        <v>16</v>
      </c>
      <c r="D52" s="54">
        <f t="shared" si="15"/>
        <v>16</v>
      </c>
      <c r="E52" s="26">
        <f t="shared" si="16"/>
        <v>240</v>
      </c>
      <c r="F52" s="147">
        <f t="shared" si="17"/>
        <v>66720</v>
      </c>
      <c r="H52" s="54" t="s">
        <v>828</v>
      </c>
      <c r="I52" s="54"/>
      <c r="J52" s="54"/>
      <c r="K52" s="26">
        <f>E61</f>
        <v>4987.5</v>
      </c>
      <c r="L52" s="147">
        <f>F61</f>
        <v>1386525</v>
      </c>
    </row>
    <row r="53" spans="1:12" x14ac:dyDescent="0.35">
      <c r="A53" s="54" t="s">
        <v>786</v>
      </c>
      <c r="B53" s="55">
        <v>1</v>
      </c>
      <c r="C53" s="54">
        <v>28</v>
      </c>
      <c r="D53" s="54">
        <f t="shared" si="15"/>
        <v>28</v>
      </c>
      <c r="E53" s="26">
        <f t="shared" si="16"/>
        <v>420</v>
      </c>
      <c r="F53" s="147">
        <f t="shared" si="17"/>
        <v>116760</v>
      </c>
      <c r="H53" s="54" t="s">
        <v>829</v>
      </c>
      <c r="I53" s="54"/>
      <c r="J53" s="54"/>
      <c r="K53" s="26">
        <f>K16</f>
        <v>930</v>
      </c>
      <c r="L53" s="147">
        <f>L16</f>
        <v>258540</v>
      </c>
    </row>
    <row r="54" spans="1:12" x14ac:dyDescent="0.35">
      <c r="A54" s="54" t="s">
        <v>763</v>
      </c>
      <c r="B54" s="55">
        <v>1</v>
      </c>
      <c r="C54" s="54">
        <v>18</v>
      </c>
      <c r="D54" s="54">
        <f t="shared" si="15"/>
        <v>18</v>
      </c>
      <c r="E54" s="26">
        <f t="shared" si="16"/>
        <v>270</v>
      </c>
      <c r="F54" s="147">
        <f t="shared" si="17"/>
        <v>75060</v>
      </c>
      <c r="H54" s="54" t="s">
        <v>830</v>
      </c>
      <c r="I54" s="54"/>
      <c r="J54" s="54"/>
      <c r="K54" s="26">
        <f>K26</f>
        <v>750</v>
      </c>
      <c r="L54" s="147">
        <f>L26</f>
        <v>208500</v>
      </c>
    </row>
    <row r="55" spans="1:12" x14ac:dyDescent="0.35">
      <c r="A55" s="54" t="s">
        <v>787</v>
      </c>
      <c r="B55" s="55">
        <v>1</v>
      </c>
      <c r="C55" s="54">
        <v>24</v>
      </c>
      <c r="D55" s="54">
        <f t="shared" si="15"/>
        <v>24</v>
      </c>
      <c r="E55" s="26">
        <f t="shared" si="16"/>
        <v>360</v>
      </c>
      <c r="F55" s="147">
        <f t="shared" si="17"/>
        <v>100080</v>
      </c>
      <c r="H55" s="54" t="s">
        <v>831</v>
      </c>
      <c r="I55" s="54"/>
      <c r="J55" s="54"/>
      <c r="K55" s="26">
        <f>K36</f>
        <v>1440</v>
      </c>
      <c r="L55" s="147">
        <f>L36</f>
        <v>400320</v>
      </c>
    </row>
    <row r="56" spans="1:12" x14ac:dyDescent="0.35">
      <c r="A56" s="54" t="s">
        <v>788</v>
      </c>
      <c r="B56" s="55">
        <v>1</v>
      </c>
      <c r="C56" s="54">
        <v>20</v>
      </c>
      <c r="D56" s="54">
        <f t="shared" si="15"/>
        <v>20</v>
      </c>
      <c r="E56" s="26">
        <f t="shared" si="16"/>
        <v>300</v>
      </c>
      <c r="F56" s="147">
        <f t="shared" si="17"/>
        <v>83400</v>
      </c>
      <c r="H56" s="54" t="s">
        <v>832</v>
      </c>
      <c r="I56" s="54"/>
      <c r="J56" s="54"/>
      <c r="K56" s="26">
        <f>K45</f>
        <v>480</v>
      </c>
      <c r="L56" s="147">
        <f>L45</f>
        <v>133440</v>
      </c>
    </row>
    <row r="57" spans="1:12" x14ac:dyDescent="0.35">
      <c r="A57" s="54" t="s">
        <v>76</v>
      </c>
      <c r="B57" s="55">
        <v>1</v>
      </c>
      <c r="C57" s="54">
        <v>30</v>
      </c>
      <c r="D57" s="54">
        <f t="shared" si="15"/>
        <v>30</v>
      </c>
      <c r="E57" s="26">
        <f t="shared" si="16"/>
        <v>450</v>
      </c>
      <c r="F57" s="147">
        <f t="shared" si="17"/>
        <v>125100</v>
      </c>
      <c r="H57" s="54" t="s">
        <v>833</v>
      </c>
      <c r="I57" s="54"/>
      <c r="J57" s="54"/>
      <c r="K57" s="26"/>
      <c r="L57" s="5"/>
    </row>
    <row r="58" spans="1:12" ht="18.5" x14ac:dyDescent="0.45">
      <c r="A58" s="54" t="s">
        <v>764</v>
      </c>
      <c r="B58" s="54"/>
      <c r="C58" s="54"/>
      <c r="D58" s="54">
        <f>SUM(D50:D57)</f>
        <v>266</v>
      </c>
      <c r="E58" s="37">
        <f>SUM(E50:E57)</f>
        <v>3990</v>
      </c>
      <c r="F58" s="148">
        <f>SUM(F50:F57)</f>
        <v>1109220</v>
      </c>
      <c r="H58" s="161" t="s">
        <v>834</v>
      </c>
      <c r="I58" s="161"/>
      <c r="J58" s="161"/>
      <c r="K58" s="162">
        <f>SUM(K49:K56)</f>
        <v>17568</v>
      </c>
      <c r="L58" s="163">
        <f>SUM(L49:L56)</f>
        <v>4883904</v>
      </c>
    </row>
    <row r="59" spans="1:12" x14ac:dyDescent="0.35">
      <c r="A59" s="54" t="s">
        <v>745</v>
      </c>
      <c r="B59" s="54"/>
      <c r="C59" s="54"/>
      <c r="D59" s="54">
        <f>D58*0.15</f>
        <v>39.9</v>
      </c>
      <c r="E59" s="26">
        <f>E58*0.15</f>
        <v>598.5</v>
      </c>
      <c r="F59" s="147">
        <f>F58*0.15</f>
        <v>166383</v>
      </c>
    </row>
    <row r="60" spans="1:12" x14ac:dyDescent="0.35">
      <c r="A60" s="54" t="s">
        <v>765</v>
      </c>
      <c r="B60" s="54"/>
      <c r="C60" s="54"/>
      <c r="D60" s="54">
        <f>D58*0.1</f>
        <v>26.6</v>
      </c>
      <c r="E60" s="26">
        <f>E58*0.1</f>
        <v>399</v>
      </c>
      <c r="F60" s="147">
        <f>F58*0.1</f>
        <v>110922</v>
      </c>
    </row>
    <row r="61" spans="1:12" x14ac:dyDescent="0.35">
      <c r="A61" s="158" t="s">
        <v>789</v>
      </c>
      <c r="B61" s="158"/>
      <c r="C61" s="158"/>
      <c r="D61" s="158">
        <f>D58+D59+D60</f>
        <v>332.5</v>
      </c>
      <c r="E61" s="159">
        <f>E58+E59+E60</f>
        <v>4987.5</v>
      </c>
      <c r="F61" s="160">
        <f>F58+F59+F60</f>
        <v>1386525</v>
      </c>
    </row>
    <row r="62" spans="1:12" x14ac:dyDescent="0.35">
      <c r="H62" s="164" t="s">
        <v>1144</v>
      </c>
      <c r="I62" s="154"/>
      <c r="J62" s="154"/>
      <c r="K62" s="154"/>
      <c r="L62" s="154"/>
    </row>
    <row r="63" spans="1:12" ht="16" x14ac:dyDescent="0.4">
      <c r="A63" s="253" t="s">
        <v>835</v>
      </c>
      <c r="B63" s="241"/>
      <c r="C63" s="241"/>
      <c r="D63" s="241"/>
      <c r="E63" s="241"/>
      <c r="F63" s="241"/>
      <c r="H63" s="164" t="s">
        <v>873</v>
      </c>
      <c r="I63" s="164" t="s">
        <v>100</v>
      </c>
      <c r="J63" s="164" t="s">
        <v>1145</v>
      </c>
      <c r="K63" s="154"/>
      <c r="L63" s="154"/>
    </row>
    <row r="64" spans="1:12" x14ac:dyDescent="0.35">
      <c r="A64" s="155" t="s">
        <v>30</v>
      </c>
      <c r="B64" s="155" t="s">
        <v>80</v>
      </c>
      <c r="C64" s="155" t="s">
        <v>760</v>
      </c>
      <c r="D64" s="155" t="s">
        <v>761</v>
      </c>
      <c r="E64" s="155" t="s">
        <v>0</v>
      </c>
      <c r="F64" s="155" t="s">
        <v>9</v>
      </c>
      <c r="H64" s="154" t="s">
        <v>874</v>
      </c>
      <c r="I64" s="154" t="s">
        <v>1847</v>
      </c>
      <c r="J64" s="154" t="s">
        <v>1146</v>
      </c>
      <c r="K64" s="154"/>
      <c r="L64" s="154"/>
    </row>
    <row r="65" spans="1:12" x14ac:dyDescent="0.35">
      <c r="A65" s="54" t="s">
        <v>836</v>
      </c>
      <c r="B65" s="54">
        <v>40</v>
      </c>
      <c r="C65" s="26">
        <f t="shared" ref="C65:C74" si="18">B65*$B$6</f>
        <v>600</v>
      </c>
      <c r="D65" s="147">
        <f t="shared" ref="D65:D74" si="19">C65*$K$3</f>
        <v>166800</v>
      </c>
      <c r="E65" s="54" t="s">
        <v>837</v>
      </c>
      <c r="F65" s="54" t="s">
        <v>746</v>
      </c>
      <c r="H65" s="154" t="s">
        <v>973</v>
      </c>
      <c r="I65" s="154" t="s">
        <v>1848</v>
      </c>
      <c r="J65" s="154" t="s">
        <v>1147</v>
      </c>
      <c r="K65" s="154"/>
      <c r="L65" s="154"/>
    </row>
    <row r="66" spans="1:12" x14ac:dyDescent="0.35">
      <c r="A66" s="54" t="s">
        <v>838</v>
      </c>
      <c r="B66" s="54">
        <v>100</v>
      </c>
      <c r="C66" s="26">
        <f t="shared" si="18"/>
        <v>1500</v>
      </c>
      <c r="D66" s="147">
        <f t="shared" si="19"/>
        <v>417000</v>
      </c>
      <c r="E66" s="54" t="s">
        <v>385</v>
      </c>
      <c r="F66" s="54" t="s">
        <v>752</v>
      </c>
      <c r="H66" s="154" t="s">
        <v>978</v>
      </c>
      <c r="I66" s="154" t="s">
        <v>1849</v>
      </c>
      <c r="J66" s="154" t="s">
        <v>1148</v>
      </c>
      <c r="K66" s="154"/>
      <c r="L66" s="154"/>
    </row>
    <row r="67" spans="1:12" x14ac:dyDescent="0.35">
      <c r="A67" s="54" t="s">
        <v>839</v>
      </c>
      <c r="B67" s="54">
        <v>250</v>
      </c>
      <c r="C67" s="26">
        <f t="shared" si="18"/>
        <v>3750</v>
      </c>
      <c r="D67" s="147">
        <f t="shared" si="19"/>
        <v>1042500</v>
      </c>
      <c r="E67" s="54" t="s">
        <v>840</v>
      </c>
      <c r="F67" s="54" t="s">
        <v>749</v>
      </c>
      <c r="H67" s="154" t="s">
        <v>878</v>
      </c>
      <c r="I67" s="154" t="s">
        <v>1850</v>
      </c>
      <c r="J67" s="154" t="s">
        <v>983</v>
      </c>
      <c r="K67" s="154"/>
      <c r="L67" s="154"/>
    </row>
    <row r="68" spans="1:12" x14ac:dyDescent="0.35">
      <c r="A68" s="54" t="s">
        <v>841</v>
      </c>
      <c r="B68" s="54">
        <v>350</v>
      </c>
      <c r="C68" s="26">
        <f t="shared" si="18"/>
        <v>5250</v>
      </c>
      <c r="D68" s="147">
        <f t="shared" si="19"/>
        <v>1459500</v>
      </c>
      <c r="E68" s="54" t="s">
        <v>842</v>
      </c>
      <c r="F68" s="54" t="s">
        <v>747</v>
      </c>
      <c r="H68" s="56" t="s">
        <v>1870</v>
      </c>
    </row>
    <row r="69" spans="1:12" x14ac:dyDescent="0.35">
      <c r="A69" s="54" t="s">
        <v>843</v>
      </c>
      <c r="B69" s="54">
        <v>300</v>
      </c>
      <c r="C69" s="26">
        <f t="shared" si="18"/>
        <v>4500</v>
      </c>
      <c r="D69" s="147">
        <f t="shared" si="19"/>
        <v>1251000</v>
      </c>
      <c r="E69" s="54" t="s">
        <v>842</v>
      </c>
      <c r="F69" s="54" t="s">
        <v>704</v>
      </c>
    </row>
    <row r="70" spans="1:12" x14ac:dyDescent="0.35">
      <c r="A70" s="54" t="s">
        <v>844</v>
      </c>
      <c r="B70" s="54">
        <v>450</v>
      </c>
      <c r="C70" s="26">
        <f t="shared" si="18"/>
        <v>6750</v>
      </c>
      <c r="D70" s="147">
        <f t="shared" si="19"/>
        <v>1876500</v>
      </c>
      <c r="E70" s="54" t="s">
        <v>845</v>
      </c>
      <c r="F70" s="54" t="s">
        <v>10</v>
      </c>
    </row>
    <row r="71" spans="1:12" x14ac:dyDescent="0.35">
      <c r="A71" s="54" t="s">
        <v>846</v>
      </c>
      <c r="B71" s="54">
        <v>600</v>
      </c>
      <c r="C71" s="26">
        <f t="shared" si="18"/>
        <v>9000</v>
      </c>
      <c r="D71" s="147">
        <f t="shared" si="19"/>
        <v>2502000</v>
      </c>
      <c r="E71" s="54" t="s">
        <v>847</v>
      </c>
      <c r="F71" s="54" t="s">
        <v>751</v>
      </c>
    </row>
    <row r="72" spans="1:12" x14ac:dyDescent="0.35">
      <c r="A72" s="54" t="s">
        <v>78</v>
      </c>
      <c r="B72" s="54">
        <v>250</v>
      </c>
      <c r="C72" s="26">
        <f t="shared" si="18"/>
        <v>3750</v>
      </c>
      <c r="D72" s="147">
        <f t="shared" si="19"/>
        <v>1042500</v>
      </c>
      <c r="E72" s="54" t="s">
        <v>840</v>
      </c>
      <c r="F72" s="54" t="s">
        <v>753</v>
      </c>
    </row>
    <row r="73" spans="1:12" x14ac:dyDescent="0.35">
      <c r="A73" s="54" t="s">
        <v>31</v>
      </c>
      <c r="B73" s="54">
        <v>80</v>
      </c>
      <c r="C73" s="26">
        <f t="shared" si="18"/>
        <v>1200</v>
      </c>
      <c r="D73" s="147">
        <f t="shared" si="19"/>
        <v>333600</v>
      </c>
      <c r="E73" s="54" t="s">
        <v>385</v>
      </c>
      <c r="F73" s="54" t="s">
        <v>752</v>
      </c>
    </row>
    <row r="74" spans="1:12" x14ac:dyDescent="0.35">
      <c r="A74" s="54" t="s">
        <v>848</v>
      </c>
      <c r="B74" s="54">
        <v>1000</v>
      </c>
      <c r="C74" s="26">
        <f t="shared" si="18"/>
        <v>15000</v>
      </c>
      <c r="D74" s="147">
        <f t="shared" si="19"/>
        <v>4170000</v>
      </c>
      <c r="E74" s="54" t="s">
        <v>849</v>
      </c>
      <c r="F74" s="54" t="s">
        <v>11</v>
      </c>
    </row>
    <row r="76" spans="1:12" x14ac:dyDescent="0.35">
      <c r="A76" s="241" t="s">
        <v>850</v>
      </c>
      <c r="B76" s="241"/>
      <c r="C76" s="241"/>
      <c r="D76" s="241"/>
      <c r="E76" s="241"/>
      <c r="F76" s="241"/>
    </row>
    <row r="77" spans="1:12" x14ac:dyDescent="0.35">
      <c r="A77" s="250" t="s">
        <v>851</v>
      </c>
      <c r="B77" s="244"/>
      <c r="C77" s="244"/>
      <c r="D77" s="244"/>
      <c r="E77" s="244"/>
      <c r="F77" s="244"/>
    </row>
    <row r="78" spans="1:12" x14ac:dyDescent="0.35">
      <c r="A78" s="250" t="s">
        <v>1043</v>
      </c>
      <c r="B78" s="244"/>
      <c r="C78" s="244"/>
      <c r="D78" s="244"/>
      <c r="E78" s="244"/>
      <c r="F78" s="244"/>
    </row>
    <row r="79" spans="1:12" x14ac:dyDescent="0.35">
      <c r="A79" s="250" t="s">
        <v>852</v>
      </c>
      <c r="B79" s="244"/>
      <c r="C79" s="244"/>
      <c r="D79" s="244"/>
      <c r="E79" s="244"/>
      <c r="F79" s="244"/>
    </row>
    <row r="80" spans="1:12" x14ac:dyDescent="0.35">
      <c r="A80" s="250" t="s">
        <v>853</v>
      </c>
      <c r="B80" s="244"/>
      <c r="C80" s="244"/>
      <c r="D80" s="244"/>
      <c r="E80" s="244"/>
      <c r="F80" s="244"/>
    </row>
    <row r="81" spans="1:6" x14ac:dyDescent="0.35">
      <c r="A81" s="250" t="s">
        <v>854</v>
      </c>
      <c r="B81" s="244"/>
      <c r="C81" s="244"/>
      <c r="D81" s="244"/>
      <c r="E81" s="244"/>
      <c r="F81" s="244"/>
    </row>
    <row r="82" spans="1:6" x14ac:dyDescent="0.35">
      <c r="A82" s="250" t="s">
        <v>855</v>
      </c>
      <c r="B82" s="244"/>
      <c r="C82" s="244"/>
      <c r="D82" s="244"/>
      <c r="E82" s="244"/>
      <c r="F82" s="244"/>
    </row>
  </sheetData>
  <mergeCells count="20">
    <mergeCell ref="A82:F82"/>
    <mergeCell ref="A48:F48"/>
    <mergeCell ref="H8:L8"/>
    <mergeCell ref="H18:L18"/>
    <mergeCell ref="H28:L28"/>
    <mergeCell ref="H38:L38"/>
    <mergeCell ref="H47:L47"/>
    <mergeCell ref="A8:F8"/>
    <mergeCell ref="A22:F22"/>
    <mergeCell ref="A35:F35"/>
    <mergeCell ref="A78:F78"/>
    <mergeCell ref="A79:F79"/>
    <mergeCell ref="A63:F63"/>
    <mergeCell ref="A80:F80"/>
    <mergeCell ref="A81:F81"/>
    <mergeCell ref="A1:L1"/>
    <mergeCell ref="A2:L2"/>
    <mergeCell ref="A5:F5"/>
    <mergeCell ref="A76:F76"/>
    <mergeCell ref="A77:F77"/>
  </mergeCells>
  <dataValidations count="1">
    <dataValidation type="list" allowBlank="1" showInputMessage="1" showErrorMessage="1" sqref="B3" xr:uid="{4B7203F7-C549-4697-BB6E-B86D97B7C7B0}">
      <formula1>"BUDGET,STANDARD,PROFESSIONAL,PREMIUM"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DE34-B375-49F3-94E6-D709FFCBA27E}">
  <dimension ref="A1:K59"/>
  <sheetViews>
    <sheetView workbookViewId="0">
      <pane ySplit="3" topLeftCell="A4" activePane="bottomLeft" state="frozen"/>
      <selection pane="bottomLeft" activeCell="C11" sqref="C11"/>
    </sheetView>
  </sheetViews>
  <sheetFormatPr defaultRowHeight="14.5" x14ac:dyDescent="0.35"/>
  <cols>
    <col min="1" max="1" width="23.6328125" customWidth="1"/>
    <col min="2" max="2" width="21.81640625" customWidth="1"/>
    <col min="3" max="3" width="27.26953125" customWidth="1"/>
    <col min="4" max="4" width="14.54296875" customWidth="1"/>
    <col min="5" max="5" width="16.36328125" customWidth="1"/>
    <col min="6" max="6" width="14.54296875" customWidth="1"/>
    <col min="7" max="8" width="18.1796875" customWidth="1"/>
    <col min="9" max="9" width="16.36328125" customWidth="1"/>
    <col min="10" max="10" width="23.6328125" customWidth="1"/>
  </cols>
  <sheetData>
    <row r="1" spans="1:11" ht="35" customHeight="1" x14ac:dyDescent="0.7">
      <c r="A1" s="233" t="s">
        <v>96</v>
      </c>
      <c r="B1" s="247"/>
      <c r="C1" s="247"/>
      <c r="D1" s="247"/>
      <c r="E1" s="247"/>
      <c r="F1" s="247"/>
      <c r="G1" s="247"/>
      <c r="H1" s="247"/>
      <c r="I1" s="247"/>
      <c r="J1" s="247"/>
      <c r="K1" s="221" t="s">
        <v>1619</v>
      </c>
    </row>
    <row r="2" spans="1:11" ht="22" customHeight="1" x14ac:dyDescent="0.35">
      <c r="A2" s="248" t="s">
        <v>1708</v>
      </c>
      <c r="B2" s="249"/>
      <c r="C2" s="249"/>
      <c r="D2" s="249"/>
      <c r="E2" s="249"/>
      <c r="F2" s="249"/>
      <c r="G2" s="249"/>
      <c r="H2" s="249"/>
      <c r="I2" s="249"/>
      <c r="J2" s="249"/>
    </row>
    <row r="4" spans="1:11" ht="24" customHeight="1" x14ac:dyDescent="0.4">
      <c r="A4" s="253" t="s">
        <v>97</v>
      </c>
      <c r="B4" s="241"/>
      <c r="C4" s="241"/>
      <c r="D4" s="241"/>
      <c r="E4" s="241"/>
      <c r="F4" s="241"/>
      <c r="G4" s="241"/>
      <c r="H4" s="241"/>
      <c r="I4" s="241"/>
      <c r="J4" s="241"/>
    </row>
    <row r="5" spans="1:11" x14ac:dyDescent="0.35">
      <c r="A5" s="165" t="s">
        <v>34</v>
      </c>
      <c r="B5" s="165" t="s">
        <v>98</v>
      </c>
      <c r="C5" s="165" t="s">
        <v>99</v>
      </c>
      <c r="D5" s="165" t="s">
        <v>100</v>
      </c>
      <c r="E5" s="165" t="s">
        <v>54</v>
      </c>
      <c r="F5" s="165" t="s">
        <v>43</v>
      </c>
      <c r="G5" s="165" t="s">
        <v>101</v>
      </c>
      <c r="H5" s="165" t="s">
        <v>35</v>
      </c>
      <c r="I5" s="165" t="s">
        <v>17</v>
      </c>
      <c r="J5" s="165" t="s">
        <v>6</v>
      </c>
    </row>
    <row r="6" spans="1:11" x14ac:dyDescent="0.35">
      <c r="A6" s="55"/>
      <c r="B6" s="54"/>
      <c r="C6" s="54"/>
      <c r="D6" s="26"/>
      <c r="E6" s="54"/>
      <c r="F6" s="54"/>
      <c r="G6" s="54">
        <v>0</v>
      </c>
      <c r="H6" s="55"/>
      <c r="I6" s="54" t="s">
        <v>36</v>
      </c>
      <c r="J6" s="54" t="s">
        <v>103</v>
      </c>
    </row>
    <row r="7" spans="1:11" x14ac:dyDescent="0.35">
      <c r="A7" s="55"/>
      <c r="B7" s="54"/>
      <c r="C7" s="54"/>
      <c r="D7" s="26"/>
      <c r="E7" s="54"/>
      <c r="F7" s="54"/>
      <c r="G7" s="54">
        <v>0</v>
      </c>
      <c r="H7" s="55"/>
      <c r="I7" s="54" t="s">
        <v>36</v>
      </c>
      <c r="J7" s="54" t="s">
        <v>105</v>
      </c>
    </row>
    <row r="8" spans="1:11" x14ac:dyDescent="0.35">
      <c r="A8" s="55"/>
      <c r="B8" s="54"/>
      <c r="C8" s="54"/>
      <c r="D8" s="26"/>
      <c r="E8" s="54"/>
      <c r="F8" s="54"/>
      <c r="G8" s="54">
        <v>0</v>
      </c>
      <c r="H8" s="55"/>
      <c r="I8" s="54" t="s">
        <v>37</v>
      </c>
      <c r="J8" s="54" t="s">
        <v>106</v>
      </c>
    </row>
    <row r="9" spans="1:11" x14ac:dyDescent="0.35">
      <c r="A9" s="55"/>
      <c r="B9" s="54"/>
      <c r="C9" s="54"/>
      <c r="D9" s="26"/>
      <c r="E9" s="54"/>
      <c r="F9" s="54"/>
      <c r="G9" s="54">
        <v>0</v>
      </c>
      <c r="H9" s="55"/>
      <c r="I9" s="54" t="s">
        <v>38</v>
      </c>
      <c r="J9" s="54"/>
    </row>
    <row r="10" spans="1:11" x14ac:dyDescent="0.35">
      <c r="A10" s="55"/>
      <c r="B10" s="54"/>
      <c r="C10" s="54"/>
      <c r="D10" s="26"/>
      <c r="E10" s="54"/>
      <c r="F10" s="54"/>
      <c r="G10" s="54">
        <v>0</v>
      </c>
      <c r="H10" s="55"/>
      <c r="I10" s="54" t="s">
        <v>37</v>
      </c>
      <c r="J10" s="54" t="s">
        <v>109</v>
      </c>
    </row>
    <row r="12" spans="1:11" ht="16" x14ac:dyDescent="0.4">
      <c r="A12" s="253" t="s">
        <v>110</v>
      </c>
      <c r="B12" s="241"/>
      <c r="C12" s="241"/>
      <c r="D12" s="241"/>
      <c r="E12" s="241"/>
      <c r="F12" s="241"/>
      <c r="G12" s="241"/>
      <c r="H12" s="241"/>
      <c r="I12" s="241"/>
      <c r="J12" s="241"/>
    </row>
    <row r="13" spans="1:11" x14ac:dyDescent="0.35">
      <c r="A13" s="155" t="s">
        <v>34</v>
      </c>
      <c r="B13" s="155" t="s">
        <v>53</v>
      </c>
      <c r="C13" s="155" t="s">
        <v>111</v>
      </c>
      <c r="D13" s="155" t="s">
        <v>100</v>
      </c>
      <c r="E13" s="155" t="s">
        <v>112</v>
      </c>
      <c r="F13" s="155" t="s">
        <v>43</v>
      </c>
      <c r="G13" s="155" t="s">
        <v>113</v>
      </c>
      <c r="H13" s="155" t="s">
        <v>35</v>
      </c>
      <c r="I13" s="155" t="s">
        <v>17</v>
      </c>
      <c r="J13" s="155" t="s">
        <v>6</v>
      </c>
    </row>
    <row r="14" spans="1:11" x14ac:dyDescent="0.35">
      <c r="A14" s="128"/>
      <c r="B14" s="54" t="s">
        <v>114</v>
      </c>
      <c r="C14" s="54" t="s">
        <v>115</v>
      </c>
      <c r="D14" s="26">
        <v>30</v>
      </c>
      <c r="E14" s="54" t="s">
        <v>95</v>
      </c>
      <c r="F14" s="54" t="s">
        <v>25</v>
      </c>
      <c r="G14" s="128"/>
      <c r="H14" s="128"/>
      <c r="I14" s="54" t="s">
        <v>36</v>
      </c>
      <c r="J14" s="54"/>
    </row>
    <row r="15" spans="1:11" x14ac:dyDescent="0.35">
      <c r="A15" s="128"/>
      <c r="B15" s="54" t="s">
        <v>116</v>
      </c>
      <c r="C15" s="54" t="s">
        <v>117</v>
      </c>
      <c r="D15" s="26">
        <v>25</v>
      </c>
      <c r="E15" s="54" t="s">
        <v>13</v>
      </c>
      <c r="F15" s="54" t="s">
        <v>25</v>
      </c>
      <c r="G15" s="128"/>
      <c r="H15" s="128"/>
      <c r="I15" s="54" t="s">
        <v>37</v>
      </c>
      <c r="J15" s="54"/>
    </row>
    <row r="16" spans="1:11" x14ac:dyDescent="0.35">
      <c r="A16" s="128"/>
      <c r="B16" s="54" t="s">
        <v>118</v>
      </c>
      <c r="C16" s="54" t="s">
        <v>119</v>
      </c>
      <c r="D16" s="26">
        <v>35</v>
      </c>
      <c r="E16" s="54" t="s">
        <v>13</v>
      </c>
      <c r="F16" s="54"/>
      <c r="G16" s="128"/>
      <c r="H16" s="128"/>
      <c r="I16" s="54" t="s">
        <v>39</v>
      </c>
      <c r="J16" s="54"/>
    </row>
    <row r="18" spans="1:10" ht="16" x14ac:dyDescent="0.4">
      <c r="A18" s="253" t="s">
        <v>120</v>
      </c>
      <c r="B18" s="241"/>
      <c r="C18" s="241"/>
      <c r="D18" s="241"/>
      <c r="E18" s="241"/>
      <c r="F18" s="241"/>
      <c r="G18" s="241"/>
      <c r="H18" s="241"/>
      <c r="I18" s="241"/>
      <c r="J18" s="241"/>
    </row>
    <row r="19" spans="1:10" x14ac:dyDescent="0.35">
      <c r="A19" s="155" t="s">
        <v>34</v>
      </c>
      <c r="B19" s="155" t="s">
        <v>53</v>
      </c>
      <c r="C19" s="155" t="s">
        <v>15</v>
      </c>
      <c r="D19" s="155" t="s">
        <v>100</v>
      </c>
      <c r="E19" s="155" t="s">
        <v>54</v>
      </c>
      <c r="F19" s="155" t="s">
        <v>43</v>
      </c>
      <c r="G19" s="155" t="s">
        <v>121</v>
      </c>
      <c r="H19" s="155" t="s">
        <v>35</v>
      </c>
      <c r="I19" s="155" t="s">
        <v>17</v>
      </c>
      <c r="J19" s="155" t="s">
        <v>6</v>
      </c>
    </row>
    <row r="20" spans="1:10" x14ac:dyDescent="0.35">
      <c r="A20" s="128"/>
      <c r="B20" s="54" t="s">
        <v>65</v>
      </c>
      <c r="C20" s="54" t="s">
        <v>122</v>
      </c>
      <c r="D20" s="26">
        <v>15</v>
      </c>
      <c r="E20" s="54" t="s">
        <v>50</v>
      </c>
      <c r="F20" s="54" t="s">
        <v>25</v>
      </c>
      <c r="G20" s="54"/>
      <c r="H20" s="128"/>
      <c r="I20" s="54" t="s">
        <v>123</v>
      </c>
      <c r="J20" s="54" t="s">
        <v>124</v>
      </c>
    </row>
    <row r="21" spans="1:10" x14ac:dyDescent="0.35">
      <c r="A21" s="128"/>
      <c r="B21" s="54" t="s">
        <v>125</v>
      </c>
      <c r="C21" s="54" t="s">
        <v>126</v>
      </c>
      <c r="D21" s="26">
        <v>50</v>
      </c>
      <c r="E21" s="54" t="s">
        <v>55</v>
      </c>
      <c r="F21" s="54" t="s">
        <v>25</v>
      </c>
      <c r="G21" s="54"/>
      <c r="H21" s="128"/>
      <c r="I21" s="54" t="s">
        <v>127</v>
      </c>
      <c r="J21" s="54" t="s">
        <v>128</v>
      </c>
    </row>
    <row r="22" spans="1:10" x14ac:dyDescent="0.35">
      <c r="A22" s="128"/>
      <c r="B22" s="54" t="s">
        <v>29</v>
      </c>
      <c r="C22" s="54" t="s">
        <v>129</v>
      </c>
      <c r="D22" s="26">
        <v>40</v>
      </c>
      <c r="E22" s="54" t="s">
        <v>108</v>
      </c>
      <c r="F22" s="54" t="s">
        <v>25</v>
      </c>
      <c r="G22" s="54"/>
      <c r="H22" s="128"/>
      <c r="I22" s="54" t="s">
        <v>59</v>
      </c>
      <c r="J22" s="54"/>
    </row>
    <row r="23" spans="1:10" x14ac:dyDescent="0.35">
      <c r="A23" s="128"/>
      <c r="B23" s="54" t="s">
        <v>130</v>
      </c>
      <c r="C23" s="54" t="s">
        <v>56</v>
      </c>
      <c r="D23" s="26">
        <v>20</v>
      </c>
      <c r="E23" s="54" t="s">
        <v>57</v>
      </c>
      <c r="F23" s="54" t="s">
        <v>26</v>
      </c>
      <c r="G23" s="54"/>
      <c r="H23" s="128"/>
      <c r="I23" s="54" t="s">
        <v>58</v>
      </c>
      <c r="J23" s="54"/>
    </row>
    <row r="25" spans="1:10" ht="16" x14ac:dyDescent="0.4">
      <c r="A25" s="253" t="s">
        <v>131</v>
      </c>
      <c r="B25" s="241"/>
      <c r="C25" s="241"/>
      <c r="D25" s="241"/>
      <c r="E25" s="241"/>
      <c r="F25" s="241"/>
      <c r="G25" s="241"/>
      <c r="H25" s="241"/>
      <c r="I25" s="241"/>
      <c r="J25" s="241"/>
    </row>
    <row r="26" spans="1:10" x14ac:dyDescent="0.35">
      <c r="A26" s="155" t="s">
        <v>132</v>
      </c>
      <c r="B26" s="155" t="s">
        <v>40</v>
      </c>
      <c r="C26" s="155" t="s">
        <v>41</v>
      </c>
      <c r="D26" s="155" t="s">
        <v>133</v>
      </c>
      <c r="E26" s="155" t="s">
        <v>134</v>
      </c>
      <c r="F26" s="155" t="s">
        <v>43</v>
      </c>
      <c r="G26" s="155" t="s">
        <v>135</v>
      </c>
      <c r="H26" s="155" t="s">
        <v>35</v>
      </c>
      <c r="I26" s="155" t="s">
        <v>17</v>
      </c>
      <c r="J26" s="155" t="s">
        <v>6</v>
      </c>
    </row>
    <row r="27" spans="1:10" x14ac:dyDescent="0.35">
      <c r="A27" s="128"/>
      <c r="B27" s="54" t="s">
        <v>136</v>
      </c>
      <c r="C27" s="54" t="s">
        <v>44</v>
      </c>
      <c r="D27" s="54" t="s">
        <v>137</v>
      </c>
      <c r="E27" s="54" t="s">
        <v>138</v>
      </c>
      <c r="F27" s="54" t="s">
        <v>45</v>
      </c>
      <c r="G27" s="128"/>
      <c r="H27" s="128"/>
      <c r="I27" s="54" t="s">
        <v>139</v>
      </c>
      <c r="J27" s="54" t="s">
        <v>140</v>
      </c>
    </row>
    <row r="28" spans="1:10" x14ac:dyDescent="0.35">
      <c r="A28" s="128"/>
      <c r="B28" s="54" t="s">
        <v>46</v>
      </c>
      <c r="C28" s="54" t="s">
        <v>47</v>
      </c>
      <c r="D28" s="54" t="s">
        <v>141</v>
      </c>
      <c r="E28" s="54" t="s">
        <v>48</v>
      </c>
      <c r="F28" s="54" t="s">
        <v>27</v>
      </c>
      <c r="G28" s="128"/>
      <c r="H28" s="128"/>
      <c r="I28" s="54" t="s">
        <v>38</v>
      </c>
      <c r="J28" s="54" t="s">
        <v>142</v>
      </c>
    </row>
    <row r="29" spans="1:10" x14ac:dyDescent="0.35">
      <c r="A29" s="128" t="s">
        <v>143</v>
      </c>
      <c r="B29" s="54" t="s">
        <v>49</v>
      </c>
      <c r="C29" s="54" t="s">
        <v>144</v>
      </c>
      <c r="D29" s="27">
        <v>46325</v>
      </c>
      <c r="E29" s="54" t="s">
        <v>50</v>
      </c>
      <c r="F29" s="54" t="s">
        <v>51</v>
      </c>
      <c r="G29" s="128" t="s">
        <v>145</v>
      </c>
      <c r="H29" s="128"/>
      <c r="I29" s="54" t="s">
        <v>52</v>
      </c>
      <c r="J29" s="54" t="s">
        <v>146</v>
      </c>
    </row>
    <row r="31" spans="1:10" ht="24" customHeight="1" x14ac:dyDescent="0.4">
      <c r="A31" s="253" t="s">
        <v>1143</v>
      </c>
      <c r="B31" s="241"/>
      <c r="C31" s="241"/>
      <c r="D31" s="241"/>
      <c r="E31" s="241"/>
      <c r="F31" s="241"/>
      <c r="G31" s="241"/>
      <c r="H31" s="241"/>
      <c r="I31" s="241"/>
      <c r="J31" s="241"/>
    </row>
    <row r="32" spans="1:10" x14ac:dyDescent="0.35">
      <c r="A32" s="155" t="s">
        <v>60</v>
      </c>
      <c r="B32" s="155" t="s">
        <v>147</v>
      </c>
      <c r="C32" s="155" t="s">
        <v>148</v>
      </c>
      <c r="D32" s="155" t="s">
        <v>61</v>
      </c>
      <c r="E32" s="155" t="s">
        <v>24</v>
      </c>
      <c r="F32" s="155" t="s">
        <v>62</v>
      </c>
      <c r="G32" s="155" t="s">
        <v>149</v>
      </c>
    </row>
    <row r="33" spans="1:10" x14ac:dyDescent="0.35">
      <c r="A33" s="54" t="s">
        <v>63</v>
      </c>
      <c r="B33" s="26">
        <v>8</v>
      </c>
      <c r="C33" s="26">
        <v>12</v>
      </c>
      <c r="D33" s="26">
        <v>4</v>
      </c>
      <c r="E33" s="7">
        <v>0.33</v>
      </c>
      <c r="F33" s="54" t="s">
        <v>66</v>
      </c>
      <c r="G33" s="54">
        <v>80</v>
      </c>
    </row>
    <row r="34" spans="1:10" x14ac:dyDescent="0.35">
      <c r="A34" s="54" t="s">
        <v>18</v>
      </c>
      <c r="B34" s="26">
        <v>5</v>
      </c>
      <c r="C34" s="26">
        <v>10</v>
      </c>
      <c r="D34" s="26">
        <v>5</v>
      </c>
      <c r="E34" s="7">
        <v>0.5</v>
      </c>
      <c r="F34" s="54" t="s">
        <v>150</v>
      </c>
      <c r="G34" s="54">
        <v>150</v>
      </c>
    </row>
    <row r="35" spans="1:10" x14ac:dyDescent="0.35">
      <c r="A35" s="54" t="s">
        <v>64</v>
      </c>
      <c r="B35" s="26">
        <v>8</v>
      </c>
      <c r="C35" s="26">
        <v>12</v>
      </c>
      <c r="D35" s="26">
        <v>4</v>
      </c>
      <c r="E35" s="7">
        <v>0.33</v>
      </c>
      <c r="F35" s="54" t="s">
        <v>67</v>
      </c>
      <c r="G35" s="54">
        <v>40</v>
      </c>
    </row>
    <row r="36" spans="1:10" x14ac:dyDescent="0.35">
      <c r="A36" s="54" t="s">
        <v>65</v>
      </c>
      <c r="B36" s="26">
        <v>5</v>
      </c>
      <c r="C36" s="26">
        <v>8</v>
      </c>
      <c r="D36" s="26">
        <v>3</v>
      </c>
      <c r="E36" s="7">
        <v>0.38</v>
      </c>
      <c r="F36" s="54" t="s">
        <v>68</v>
      </c>
      <c r="G36" s="54">
        <v>20</v>
      </c>
    </row>
    <row r="37" spans="1:10" x14ac:dyDescent="0.35">
      <c r="A37" s="54" t="s">
        <v>125</v>
      </c>
      <c r="B37" s="26">
        <v>12</v>
      </c>
      <c r="C37" s="26">
        <v>15</v>
      </c>
      <c r="D37" s="26">
        <v>3</v>
      </c>
      <c r="E37" s="7">
        <v>0.2</v>
      </c>
      <c r="F37" s="54" t="s">
        <v>69</v>
      </c>
      <c r="G37" s="54">
        <v>60</v>
      </c>
    </row>
    <row r="38" spans="1:10" x14ac:dyDescent="0.35">
      <c r="A38" s="54" t="s">
        <v>29</v>
      </c>
      <c r="B38" s="26">
        <v>10</v>
      </c>
      <c r="C38" s="26">
        <v>15</v>
      </c>
      <c r="D38" s="26">
        <v>5</v>
      </c>
      <c r="E38" s="7">
        <v>0.33</v>
      </c>
      <c r="F38" s="54" t="s">
        <v>151</v>
      </c>
      <c r="G38" s="54">
        <v>30</v>
      </c>
    </row>
    <row r="39" spans="1:10" x14ac:dyDescent="0.35">
      <c r="A39" s="158" t="s">
        <v>152</v>
      </c>
      <c r="B39" s="159"/>
      <c r="C39" s="159"/>
      <c r="D39" s="159">
        <v>4</v>
      </c>
      <c r="E39" s="166">
        <v>0.35</v>
      </c>
      <c r="F39" s="158"/>
      <c r="G39" s="158"/>
    </row>
    <row r="41" spans="1:10" ht="16" x14ac:dyDescent="0.4">
      <c r="A41" s="253" t="s">
        <v>153</v>
      </c>
      <c r="B41" s="241"/>
      <c r="C41" s="241"/>
      <c r="D41" s="241"/>
      <c r="E41" s="241"/>
      <c r="F41" s="241"/>
      <c r="G41" s="241"/>
      <c r="H41" s="241"/>
      <c r="I41" s="241"/>
      <c r="J41" s="241"/>
    </row>
    <row r="42" spans="1:10" x14ac:dyDescent="0.35">
      <c r="A42" s="155" t="s">
        <v>154</v>
      </c>
      <c r="B42" s="155" t="s">
        <v>155</v>
      </c>
      <c r="C42" s="155" t="s">
        <v>156</v>
      </c>
      <c r="D42" s="155" t="s">
        <v>16</v>
      </c>
      <c r="E42" s="155" t="s">
        <v>42</v>
      </c>
      <c r="F42" s="155" t="s">
        <v>8</v>
      </c>
      <c r="G42" s="155" t="s">
        <v>157</v>
      </c>
      <c r="H42" s="155" t="s">
        <v>158</v>
      </c>
      <c r="I42" s="155" t="s">
        <v>3</v>
      </c>
      <c r="J42" s="155" t="s">
        <v>159</v>
      </c>
    </row>
    <row r="43" spans="1:10" x14ac:dyDescent="0.35">
      <c r="A43" s="130" t="s">
        <v>102</v>
      </c>
      <c r="B43" s="130" t="s">
        <v>160</v>
      </c>
      <c r="C43" s="130"/>
      <c r="D43" s="28" t="s">
        <v>161</v>
      </c>
      <c r="E43" s="130" t="s">
        <v>104</v>
      </c>
      <c r="F43" s="130" t="s">
        <v>162</v>
      </c>
      <c r="G43" s="130" t="s">
        <v>163</v>
      </c>
      <c r="H43" s="130" t="s">
        <v>12</v>
      </c>
      <c r="I43" s="130" t="s">
        <v>25</v>
      </c>
      <c r="J43" s="130" t="s">
        <v>164</v>
      </c>
    </row>
    <row r="44" spans="1:10" x14ac:dyDescent="0.35">
      <c r="A44" s="54" t="s">
        <v>114</v>
      </c>
      <c r="B44" s="54" t="s">
        <v>165</v>
      </c>
      <c r="C44" s="128"/>
      <c r="D44" s="26" t="s">
        <v>166</v>
      </c>
      <c r="E44" s="54" t="s">
        <v>55</v>
      </c>
      <c r="F44" s="54" t="s">
        <v>167</v>
      </c>
      <c r="G44" s="54" t="s">
        <v>168</v>
      </c>
      <c r="H44" s="54" t="s">
        <v>169</v>
      </c>
      <c r="I44" s="54" t="s">
        <v>25</v>
      </c>
      <c r="J44" s="54" t="s">
        <v>170</v>
      </c>
    </row>
    <row r="45" spans="1:10" x14ac:dyDescent="0.35">
      <c r="A45" s="130" t="s">
        <v>107</v>
      </c>
      <c r="B45" s="130" t="s">
        <v>171</v>
      </c>
      <c r="C45" s="130"/>
      <c r="D45" s="28" t="s">
        <v>172</v>
      </c>
      <c r="E45" s="130" t="s">
        <v>108</v>
      </c>
      <c r="F45" s="130" t="s">
        <v>173</v>
      </c>
      <c r="G45" s="130" t="s">
        <v>174</v>
      </c>
      <c r="H45" s="130" t="s">
        <v>175</v>
      </c>
      <c r="I45" s="130" t="s">
        <v>26</v>
      </c>
      <c r="J45" s="130" t="s">
        <v>139</v>
      </c>
    </row>
    <row r="46" spans="1:10" x14ac:dyDescent="0.35">
      <c r="A46" s="54" t="s">
        <v>65</v>
      </c>
      <c r="B46" s="54" t="s">
        <v>176</v>
      </c>
      <c r="C46" s="128"/>
      <c r="D46" s="26" t="s">
        <v>177</v>
      </c>
      <c r="E46" s="54" t="s">
        <v>50</v>
      </c>
      <c r="F46" s="54" t="s">
        <v>178</v>
      </c>
      <c r="G46" s="54" t="s">
        <v>168</v>
      </c>
      <c r="H46" s="54" t="s">
        <v>169</v>
      </c>
      <c r="I46" s="54" t="s">
        <v>26</v>
      </c>
      <c r="J46" s="54" t="s">
        <v>179</v>
      </c>
    </row>
    <row r="47" spans="1:10" x14ac:dyDescent="0.35">
      <c r="A47" s="130" t="s">
        <v>180</v>
      </c>
      <c r="B47" s="130" t="s">
        <v>171</v>
      </c>
      <c r="C47" s="130"/>
      <c r="D47" s="28" t="s">
        <v>181</v>
      </c>
      <c r="E47" s="130" t="s">
        <v>55</v>
      </c>
      <c r="F47" s="130" t="s">
        <v>151</v>
      </c>
      <c r="G47" s="130" t="s">
        <v>174</v>
      </c>
      <c r="H47" s="130" t="s">
        <v>169</v>
      </c>
      <c r="I47" s="130" t="s">
        <v>26</v>
      </c>
      <c r="J47" s="130" t="s">
        <v>127</v>
      </c>
    </row>
    <row r="48" spans="1:10" x14ac:dyDescent="0.35">
      <c r="A48" s="54" t="s">
        <v>182</v>
      </c>
      <c r="B48" s="54" t="s">
        <v>183</v>
      </c>
      <c r="C48" s="128"/>
      <c r="D48" s="26" t="s">
        <v>184</v>
      </c>
      <c r="E48" s="54" t="s">
        <v>57</v>
      </c>
      <c r="F48" s="54" t="s">
        <v>185</v>
      </c>
      <c r="G48" s="54" t="s">
        <v>168</v>
      </c>
      <c r="H48" s="54" t="s">
        <v>169</v>
      </c>
      <c r="I48" s="54" t="s">
        <v>33</v>
      </c>
      <c r="J48" s="54" t="s">
        <v>127</v>
      </c>
    </row>
    <row r="49" spans="1:10" x14ac:dyDescent="0.35">
      <c r="A49" s="130" t="s">
        <v>130</v>
      </c>
      <c r="B49" s="130" t="s">
        <v>176</v>
      </c>
      <c r="C49" s="130"/>
      <c r="D49" s="28" t="s">
        <v>186</v>
      </c>
      <c r="E49" s="130" t="s">
        <v>57</v>
      </c>
      <c r="F49" s="130" t="s">
        <v>187</v>
      </c>
      <c r="G49" s="130" t="s">
        <v>188</v>
      </c>
      <c r="H49" s="130" t="s">
        <v>169</v>
      </c>
      <c r="I49" s="130" t="s">
        <v>33</v>
      </c>
      <c r="J49" s="130" t="s">
        <v>58</v>
      </c>
    </row>
    <row r="50" spans="1:10" x14ac:dyDescent="0.35">
      <c r="A50" s="54" t="s">
        <v>28</v>
      </c>
      <c r="B50" s="54" t="s">
        <v>160</v>
      </c>
      <c r="C50" s="128"/>
      <c r="D50" s="26" t="s">
        <v>172</v>
      </c>
      <c r="E50" s="54" t="s">
        <v>55</v>
      </c>
      <c r="F50" s="54" t="s">
        <v>150</v>
      </c>
      <c r="G50" s="54" t="s">
        <v>163</v>
      </c>
      <c r="H50" s="54" t="s">
        <v>12</v>
      </c>
      <c r="I50" s="54" t="s">
        <v>26</v>
      </c>
      <c r="J50" s="54" t="s">
        <v>189</v>
      </c>
    </row>
    <row r="52" spans="1:10" ht="16" x14ac:dyDescent="0.4">
      <c r="A52" s="253" t="s">
        <v>190</v>
      </c>
      <c r="B52" s="241"/>
      <c r="C52" s="241"/>
      <c r="D52" s="241"/>
      <c r="E52" s="241"/>
      <c r="F52" s="241"/>
      <c r="G52" s="241"/>
      <c r="H52" s="241"/>
      <c r="I52" s="241"/>
      <c r="J52" s="241"/>
    </row>
    <row r="53" spans="1:10" x14ac:dyDescent="0.35">
      <c r="A53" s="254" t="s">
        <v>1709</v>
      </c>
      <c r="B53" s="246"/>
      <c r="C53" s="246"/>
      <c r="D53" s="246"/>
      <c r="E53" s="246"/>
      <c r="F53" s="246"/>
      <c r="G53" s="246"/>
      <c r="H53" s="246"/>
      <c r="I53" s="246"/>
      <c r="J53" s="246"/>
    </row>
    <row r="54" spans="1:10" x14ac:dyDescent="0.35">
      <c r="A54" s="254" t="s">
        <v>1710</v>
      </c>
      <c r="B54" s="246"/>
      <c r="C54" s="246"/>
      <c r="D54" s="246"/>
      <c r="E54" s="246"/>
      <c r="F54" s="246"/>
      <c r="G54" s="246"/>
      <c r="H54" s="246"/>
      <c r="I54" s="246"/>
      <c r="J54" s="246"/>
    </row>
    <row r="55" spans="1:10" x14ac:dyDescent="0.35">
      <c r="A55" s="254" t="s">
        <v>1711</v>
      </c>
      <c r="B55" s="246"/>
      <c r="C55" s="246"/>
      <c r="D55" s="246"/>
      <c r="E55" s="246"/>
      <c r="F55" s="246"/>
      <c r="G55" s="246"/>
      <c r="H55" s="246"/>
      <c r="I55" s="246"/>
      <c r="J55" s="246"/>
    </row>
    <row r="56" spans="1:10" x14ac:dyDescent="0.35">
      <c r="A56" s="254" t="s">
        <v>1712</v>
      </c>
      <c r="B56" s="246"/>
      <c r="C56" s="246"/>
      <c r="D56" s="246"/>
      <c r="E56" s="246"/>
      <c r="F56" s="246"/>
      <c r="G56" s="246"/>
      <c r="H56" s="246"/>
      <c r="I56" s="246"/>
      <c r="J56" s="246"/>
    </row>
    <row r="57" spans="1:10" x14ac:dyDescent="0.35">
      <c r="A57" s="254" t="s">
        <v>1713</v>
      </c>
      <c r="B57" s="246"/>
      <c r="C57" s="246"/>
      <c r="D57" s="246"/>
      <c r="E57" s="246"/>
      <c r="F57" s="246"/>
      <c r="G57" s="246"/>
      <c r="H57" s="246"/>
      <c r="I57" s="246"/>
      <c r="J57" s="246"/>
    </row>
    <row r="58" spans="1:10" x14ac:dyDescent="0.35">
      <c r="A58" s="254" t="s">
        <v>1714</v>
      </c>
      <c r="B58" s="246"/>
      <c r="C58" s="246"/>
      <c r="D58" s="246"/>
      <c r="E58" s="246"/>
      <c r="F58" s="246"/>
      <c r="G58" s="246"/>
      <c r="H58" s="246"/>
      <c r="I58" s="246"/>
      <c r="J58" s="246"/>
    </row>
    <row r="59" spans="1:10" x14ac:dyDescent="0.35">
      <c r="A59" s="254" t="s">
        <v>1715</v>
      </c>
      <c r="B59" s="246"/>
      <c r="C59" s="246"/>
      <c r="D59" s="246"/>
      <c r="E59" s="246"/>
      <c r="F59" s="246"/>
      <c r="G59" s="246"/>
      <c r="H59" s="246"/>
      <c r="I59" s="246"/>
      <c r="J59" s="246"/>
    </row>
  </sheetData>
  <mergeCells count="16">
    <mergeCell ref="A56:J56"/>
    <mergeCell ref="A57:J57"/>
    <mergeCell ref="A58:J58"/>
    <mergeCell ref="A59:J59"/>
    <mergeCell ref="A31:J31"/>
    <mergeCell ref="A41:J41"/>
    <mergeCell ref="A52:J52"/>
    <mergeCell ref="A53:J53"/>
    <mergeCell ref="A54:J54"/>
    <mergeCell ref="A55:J55"/>
    <mergeCell ref="A25:J25"/>
    <mergeCell ref="A1:J1"/>
    <mergeCell ref="A2:J2"/>
    <mergeCell ref="A4:J4"/>
    <mergeCell ref="A12:J12"/>
    <mergeCell ref="A18:J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495C-6AD9-42D6-88FB-62A6D8D3EA2F}">
  <dimension ref="A1:N117"/>
  <sheetViews>
    <sheetView workbookViewId="0">
      <pane ySplit="4" topLeftCell="A5" activePane="bottomLeft" state="frozen"/>
      <selection pane="bottomLeft" activeCell="B12" sqref="B12"/>
    </sheetView>
  </sheetViews>
  <sheetFormatPr defaultRowHeight="14.5" x14ac:dyDescent="0.35"/>
  <cols>
    <col min="1" max="1" width="30.90625" customWidth="1"/>
    <col min="2" max="2" width="25.453125" customWidth="1"/>
    <col min="3" max="3" width="16.36328125" customWidth="1"/>
    <col min="4" max="4" width="23.6328125" customWidth="1"/>
    <col min="5" max="5" width="18.1796875" customWidth="1"/>
    <col min="6" max="6" width="14.54296875" customWidth="1"/>
    <col min="7" max="8" width="18.1796875" customWidth="1"/>
    <col min="9" max="9" width="21.81640625" customWidth="1"/>
    <col min="10" max="10" width="14.54296875" customWidth="1"/>
    <col min="11" max="12" width="21.81640625" customWidth="1"/>
  </cols>
  <sheetData>
    <row r="1" spans="1:11" ht="35" customHeight="1" x14ac:dyDescent="0.7">
      <c r="A1" s="233" t="s">
        <v>1716</v>
      </c>
      <c r="B1" s="247"/>
      <c r="C1" s="247"/>
      <c r="D1" s="247"/>
      <c r="E1" s="247"/>
      <c r="F1" s="247"/>
      <c r="G1" s="247"/>
      <c r="H1" s="247"/>
      <c r="I1" s="247"/>
      <c r="J1" s="247"/>
      <c r="K1" s="221" t="s">
        <v>1619</v>
      </c>
    </row>
    <row r="2" spans="1:11" x14ac:dyDescent="0.35">
      <c r="A2" s="248" t="s">
        <v>1717</v>
      </c>
      <c r="B2" s="249"/>
      <c r="C2" s="249"/>
      <c r="D2" s="249"/>
      <c r="E2" s="249"/>
      <c r="F2" s="249"/>
      <c r="G2" s="249"/>
      <c r="H2" s="249"/>
      <c r="I2" s="249"/>
      <c r="J2" s="249"/>
    </row>
    <row r="3" spans="1:11" x14ac:dyDescent="0.35">
      <c r="A3" s="245" t="s">
        <v>1718</v>
      </c>
      <c r="B3" s="255"/>
      <c r="C3" s="255"/>
      <c r="D3" s="255"/>
      <c r="E3" s="255"/>
      <c r="F3" s="255"/>
      <c r="G3" s="255"/>
      <c r="H3" s="255"/>
      <c r="I3" s="255"/>
      <c r="J3" s="255"/>
    </row>
    <row r="5" spans="1:11" ht="24" customHeight="1" x14ac:dyDescent="0.4">
      <c r="A5" s="253" t="s">
        <v>446</v>
      </c>
      <c r="B5" s="241"/>
      <c r="C5" s="241"/>
      <c r="D5" s="241"/>
      <c r="E5" s="241"/>
      <c r="F5" s="241"/>
      <c r="G5" s="241"/>
      <c r="H5" s="241"/>
      <c r="I5" s="241"/>
      <c r="J5" s="241"/>
    </row>
    <row r="6" spans="1:11" x14ac:dyDescent="0.35">
      <c r="A6" s="155" t="s">
        <v>219</v>
      </c>
      <c r="B6" s="155" t="s">
        <v>447</v>
      </c>
      <c r="C6" s="131"/>
      <c r="D6" s="157" t="s">
        <v>448</v>
      </c>
      <c r="E6" s="157" t="s">
        <v>5</v>
      </c>
      <c r="F6" s="131"/>
      <c r="G6" s="157" t="s">
        <v>449</v>
      </c>
      <c r="H6" s="157" t="s">
        <v>220</v>
      </c>
      <c r="I6" s="131"/>
      <c r="J6" s="131"/>
    </row>
    <row r="7" spans="1:11" x14ac:dyDescent="0.35">
      <c r="A7" s="53" t="s">
        <v>191</v>
      </c>
      <c r="B7" s="54" t="s">
        <v>192</v>
      </c>
      <c r="D7" t="s">
        <v>450</v>
      </c>
      <c r="E7" t="s">
        <v>451</v>
      </c>
      <c r="G7" t="s">
        <v>452</v>
      </c>
      <c r="H7" t="s">
        <v>453</v>
      </c>
    </row>
    <row r="8" spans="1:11" x14ac:dyDescent="0.35">
      <c r="A8" s="53" t="s">
        <v>193</v>
      </c>
      <c r="B8" s="54" t="s">
        <v>194</v>
      </c>
      <c r="D8" t="s">
        <v>454</v>
      </c>
      <c r="E8" t="s">
        <v>455</v>
      </c>
      <c r="G8" t="s">
        <v>456</v>
      </c>
      <c r="H8" t="s">
        <v>457</v>
      </c>
    </row>
    <row r="9" spans="1:11" x14ac:dyDescent="0.35">
      <c r="A9" s="53" t="s">
        <v>197</v>
      </c>
      <c r="B9" s="54" t="s">
        <v>458</v>
      </c>
      <c r="D9" t="s">
        <v>459</v>
      </c>
      <c r="E9" t="s">
        <v>460</v>
      </c>
      <c r="G9" t="s">
        <v>461</v>
      </c>
      <c r="H9" t="s">
        <v>462</v>
      </c>
    </row>
    <row r="10" spans="1:11" x14ac:dyDescent="0.35">
      <c r="A10" s="53" t="s">
        <v>221</v>
      </c>
      <c r="B10" s="54" t="s">
        <v>463</v>
      </c>
      <c r="D10" t="s">
        <v>464</v>
      </c>
      <c r="E10" t="s">
        <v>465</v>
      </c>
      <c r="G10" t="s">
        <v>466</v>
      </c>
      <c r="H10" t="s">
        <v>467</v>
      </c>
    </row>
    <row r="11" spans="1:11" x14ac:dyDescent="0.35">
      <c r="A11" s="53" t="s">
        <v>468</v>
      </c>
      <c r="B11" s="54" t="s">
        <v>469</v>
      </c>
      <c r="D11" t="s">
        <v>470</v>
      </c>
      <c r="E11" t="s">
        <v>471</v>
      </c>
      <c r="G11" t="s">
        <v>472</v>
      </c>
      <c r="H11" t="s">
        <v>473</v>
      </c>
    </row>
    <row r="12" spans="1:11" x14ac:dyDescent="0.35">
      <c r="A12" s="53" t="s">
        <v>195</v>
      </c>
      <c r="B12" s="54" t="s">
        <v>474</v>
      </c>
      <c r="D12" t="s">
        <v>475</v>
      </c>
      <c r="E12" t="s">
        <v>476</v>
      </c>
      <c r="G12" t="s">
        <v>477</v>
      </c>
      <c r="H12" t="s">
        <v>478</v>
      </c>
    </row>
    <row r="13" spans="1:11" x14ac:dyDescent="0.35">
      <c r="A13" s="53" t="s">
        <v>198</v>
      </c>
      <c r="B13" s="54">
        <v>2024</v>
      </c>
      <c r="D13" t="s">
        <v>479</v>
      </c>
      <c r="E13" t="s">
        <v>480</v>
      </c>
      <c r="G13" t="s">
        <v>481</v>
      </c>
      <c r="H13" t="s">
        <v>482</v>
      </c>
    </row>
    <row r="15" spans="1:11" ht="16" x14ac:dyDescent="0.4">
      <c r="A15" s="253" t="s">
        <v>483</v>
      </c>
      <c r="B15" s="241"/>
      <c r="C15" s="241"/>
      <c r="D15" s="241"/>
      <c r="E15" s="241"/>
      <c r="F15" s="241"/>
      <c r="G15" s="241"/>
      <c r="H15" s="241"/>
      <c r="I15" s="241"/>
      <c r="J15" s="241"/>
    </row>
    <row r="16" spans="1:11" x14ac:dyDescent="0.35">
      <c r="A16" s="155" t="s">
        <v>79</v>
      </c>
      <c r="B16" s="155" t="s">
        <v>7</v>
      </c>
      <c r="C16" s="155" t="s">
        <v>484</v>
      </c>
      <c r="D16" s="155" t="s">
        <v>225</v>
      </c>
      <c r="E16" s="155" t="s">
        <v>485</v>
      </c>
      <c r="F16" s="155" t="s">
        <v>17</v>
      </c>
      <c r="G16" s="155" t="s">
        <v>486</v>
      </c>
      <c r="H16" s="155" t="s">
        <v>487</v>
      </c>
      <c r="I16" s="155" t="s">
        <v>398</v>
      </c>
      <c r="J16" s="155" t="s">
        <v>3</v>
      </c>
    </row>
    <row r="17" spans="1:14" x14ac:dyDescent="0.35">
      <c r="A17" s="54" t="s">
        <v>488</v>
      </c>
      <c r="B17" s="54" t="s">
        <v>489</v>
      </c>
      <c r="C17" s="54" t="s">
        <v>200</v>
      </c>
      <c r="D17" s="54" t="s">
        <v>490</v>
      </c>
      <c r="E17" s="54" t="s">
        <v>491</v>
      </c>
      <c r="F17" s="54" t="s">
        <v>196</v>
      </c>
      <c r="G17" s="54" t="s">
        <v>211</v>
      </c>
      <c r="H17" s="54" t="s">
        <v>25</v>
      </c>
      <c r="I17" s="8">
        <v>200000</v>
      </c>
      <c r="J17" s="54" t="s">
        <v>402</v>
      </c>
    </row>
    <row r="18" spans="1:14" x14ac:dyDescent="0.35">
      <c r="A18" s="54" t="s">
        <v>492</v>
      </c>
      <c r="B18" s="54" t="s">
        <v>493</v>
      </c>
      <c r="C18" s="54" t="s">
        <v>200</v>
      </c>
      <c r="D18" s="54" t="s">
        <v>494</v>
      </c>
      <c r="E18" s="54" t="s">
        <v>495</v>
      </c>
      <c r="F18" s="54" t="s">
        <v>196</v>
      </c>
      <c r="G18" s="54" t="s">
        <v>211</v>
      </c>
      <c r="H18" s="54" t="s">
        <v>26</v>
      </c>
      <c r="I18" s="8">
        <v>50000</v>
      </c>
      <c r="J18" s="54" t="s">
        <v>25</v>
      </c>
    </row>
    <row r="19" spans="1:14" x14ac:dyDescent="0.35">
      <c r="A19" s="54" t="s">
        <v>496</v>
      </c>
      <c r="B19" s="54" t="s">
        <v>497</v>
      </c>
      <c r="C19" s="54" t="s">
        <v>200</v>
      </c>
      <c r="D19" s="54" t="s">
        <v>498</v>
      </c>
      <c r="E19" s="54" t="s">
        <v>491</v>
      </c>
      <c r="F19" s="54" t="s">
        <v>196</v>
      </c>
      <c r="G19" s="54" t="s">
        <v>211</v>
      </c>
      <c r="H19" s="54" t="s">
        <v>25</v>
      </c>
      <c r="I19" s="8">
        <v>100000</v>
      </c>
      <c r="J19" s="54" t="s">
        <v>25</v>
      </c>
    </row>
    <row r="20" spans="1:14" x14ac:dyDescent="0.35">
      <c r="A20" s="54" t="s">
        <v>499</v>
      </c>
      <c r="B20" s="54" t="s">
        <v>500</v>
      </c>
      <c r="C20" s="54" t="s">
        <v>501</v>
      </c>
      <c r="D20" s="54" t="s">
        <v>502</v>
      </c>
      <c r="E20" s="54" t="s">
        <v>503</v>
      </c>
      <c r="F20" s="54" t="s">
        <v>504</v>
      </c>
      <c r="G20" s="54" t="s">
        <v>211</v>
      </c>
      <c r="H20" s="54" t="s">
        <v>26</v>
      </c>
      <c r="I20" s="8">
        <v>80000</v>
      </c>
      <c r="J20" s="54" t="s">
        <v>26</v>
      </c>
    </row>
    <row r="21" spans="1:14" x14ac:dyDescent="0.35">
      <c r="A21" s="54" t="s">
        <v>505</v>
      </c>
      <c r="B21" s="54" t="s">
        <v>506</v>
      </c>
      <c r="C21" s="54" t="s">
        <v>200</v>
      </c>
      <c r="D21" s="54" t="s">
        <v>507</v>
      </c>
      <c r="E21" s="54" t="s">
        <v>27</v>
      </c>
      <c r="F21" s="54" t="s">
        <v>196</v>
      </c>
      <c r="G21" s="54" t="s">
        <v>508</v>
      </c>
      <c r="H21" s="54" t="s">
        <v>25</v>
      </c>
      <c r="I21" s="8">
        <v>150000</v>
      </c>
      <c r="J21" s="54" t="s">
        <v>25</v>
      </c>
    </row>
    <row r="22" spans="1:14" x14ac:dyDescent="0.35">
      <c r="A22" s="54" t="s">
        <v>509</v>
      </c>
      <c r="B22" s="54" t="s">
        <v>510</v>
      </c>
      <c r="C22" s="54" t="s">
        <v>200</v>
      </c>
      <c r="D22" s="54" t="s">
        <v>511</v>
      </c>
      <c r="E22" s="54" t="s">
        <v>491</v>
      </c>
      <c r="F22" s="54" t="s">
        <v>196</v>
      </c>
      <c r="G22" s="54" t="s">
        <v>214</v>
      </c>
      <c r="H22" s="54" t="s">
        <v>25</v>
      </c>
      <c r="I22" s="8">
        <v>100000</v>
      </c>
      <c r="J22" s="54" t="s">
        <v>25</v>
      </c>
    </row>
    <row r="23" spans="1:14" x14ac:dyDescent="0.35">
      <c r="A23" s="54" t="s">
        <v>512</v>
      </c>
      <c r="B23" s="54" t="s">
        <v>513</v>
      </c>
      <c r="C23" s="54" t="s">
        <v>200</v>
      </c>
      <c r="D23" s="54" t="s">
        <v>514</v>
      </c>
      <c r="E23" s="54" t="s">
        <v>515</v>
      </c>
      <c r="F23" s="54" t="s">
        <v>196</v>
      </c>
      <c r="G23" s="54" t="s">
        <v>214</v>
      </c>
      <c r="H23" s="54" t="s">
        <v>33</v>
      </c>
      <c r="I23" s="8">
        <v>40000</v>
      </c>
      <c r="J23" s="54" t="s">
        <v>33</v>
      </c>
    </row>
    <row r="24" spans="1:14" x14ac:dyDescent="0.35">
      <c r="A24" s="54" t="s">
        <v>516</v>
      </c>
      <c r="B24" s="54" t="s">
        <v>517</v>
      </c>
      <c r="C24" s="54" t="s">
        <v>200</v>
      </c>
      <c r="D24" s="54" t="s">
        <v>518</v>
      </c>
      <c r="E24" s="54" t="s">
        <v>519</v>
      </c>
      <c r="F24" s="54" t="s">
        <v>196</v>
      </c>
      <c r="G24" s="54" t="s">
        <v>214</v>
      </c>
      <c r="H24" s="54" t="s">
        <v>26</v>
      </c>
      <c r="I24" s="8">
        <v>60000</v>
      </c>
      <c r="J24" s="54" t="s">
        <v>26</v>
      </c>
    </row>
    <row r="25" spans="1:14" x14ac:dyDescent="0.35">
      <c r="A25" s="54" t="s">
        <v>520</v>
      </c>
      <c r="B25" s="54" t="s">
        <v>521</v>
      </c>
      <c r="C25" s="54" t="s">
        <v>200</v>
      </c>
      <c r="D25" s="54" t="s">
        <v>522</v>
      </c>
      <c r="E25" s="54" t="s">
        <v>515</v>
      </c>
      <c r="F25" s="54" t="s">
        <v>196</v>
      </c>
      <c r="G25" s="54" t="s">
        <v>211</v>
      </c>
      <c r="H25" s="54" t="s">
        <v>33</v>
      </c>
      <c r="I25" s="8">
        <v>30000</v>
      </c>
      <c r="J25" s="54" t="s">
        <v>33</v>
      </c>
    </row>
    <row r="26" spans="1:14" x14ac:dyDescent="0.35">
      <c r="A26" s="54" t="s">
        <v>523</v>
      </c>
      <c r="B26" s="54" t="s">
        <v>524</v>
      </c>
      <c r="C26" s="54" t="s">
        <v>200</v>
      </c>
      <c r="D26" s="54" t="s">
        <v>525</v>
      </c>
      <c r="E26" s="54" t="s">
        <v>27</v>
      </c>
      <c r="F26" s="54" t="s">
        <v>504</v>
      </c>
      <c r="G26" s="54" t="s">
        <v>214</v>
      </c>
      <c r="H26" s="54" t="s">
        <v>26</v>
      </c>
      <c r="I26" s="8">
        <v>70000</v>
      </c>
      <c r="J26" s="54" t="s">
        <v>26</v>
      </c>
    </row>
    <row r="27" spans="1:14" x14ac:dyDescent="0.35">
      <c r="A27" s="158" t="s">
        <v>526</v>
      </c>
      <c r="B27" s="158"/>
      <c r="C27" s="158"/>
      <c r="D27" s="158"/>
      <c r="E27" s="158"/>
      <c r="F27" s="158"/>
      <c r="G27" s="158"/>
      <c r="H27" s="158"/>
      <c r="I27" s="167">
        <v>880000</v>
      </c>
      <c r="J27" s="158"/>
      <c r="L27" s="263" t="s">
        <v>695</v>
      </c>
      <c r="M27" s="264"/>
      <c r="N27" s="265"/>
    </row>
    <row r="28" spans="1:14" x14ac:dyDescent="0.35">
      <c r="L28" s="169" t="s">
        <v>696</v>
      </c>
      <c r="M28" s="170">
        <v>278</v>
      </c>
      <c r="N28" s="171" t="s">
        <v>586</v>
      </c>
    </row>
    <row r="29" spans="1:14" ht="16" x14ac:dyDescent="0.4">
      <c r="A29" s="253" t="s">
        <v>667</v>
      </c>
      <c r="B29" s="253"/>
      <c r="C29" s="253"/>
      <c r="D29" s="253"/>
      <c r="E29" s="253"/>
      <c r="F29" s="253"/>
      <c r="G29" s="253"/>
      <c r="H29" s="253"/>
      <c r="I29" s="253"/>
      <c r="J29" s="253"/>
      <c r="L29" s="154" t="s">
        <v>697</v>
      </c>
      <c r="M29" s="172">
        <v>278</v>
      </c>
      <c r="N29" s="154" t="s">
        <v>586</v>
      </c>
    </row>
    <row r="30" spans="1:14" x14ac:dyDescent="0.35">
      <c r="A30" s="155" t="s">
        <v>204</v>
      </c>
      <c r="B30" s="155" t="s">
        <v>205</v>
      </c>
      <c r="C30" s="155" t="s">
        <v>527</v>
      </c>
      <c r="D30" s="155" t="s">
        <v>715</v>
      </c>
      <c r="E30" s="155" t="s">
        <v>716</v>
      </c>
      <c r="F30" s="155" t="s">
        <v>229</v>
      </c>
      <c r="G30" s="155" t="s">
        <v>89</v>
      </c>
      <c r="H30" s="155" t="s">
        <v>714</v>
      </c>
      <c r="I30" s="155" t="s">
        <v>228</v>
      </c>
      <c r="J30" s="155" t="s">
        <v>3</v>
      </c>
      <c r="L30" s="154" t="s">
        <v>698</v>
      </c>
      <c r="M30" s="154">
        <v>302</v>
      </c>
      <c r="N30" s="154" t="s">
        <v>586</v>
      </c>
    </row>
    <row r="31" spans="1:14" x14ac:dyDescent="0.35">
      <c r="A31" s="54" t="s">
        <v>528</v>
      </c>
      <c r="B31" s="54" t="s">
        <v>529</v>
      </c>
      <c r="C31" s="54" t="s">
        <v>207</v>
      </c>
      <c r="D31" s="26">
        <v>0.5</v>
      </c>
      <c r="E31" s="5">
        <v>139</v>
      </c>
      <c r="F31" s="8">
        <v>500000</v>
      </c>
      <c r="G31" s="26">
        <v>250</v>
      </c>
      <c r="H31" s="5">
        <v>69500</v>
      </c>
      <c r="I31" s="54" t="s">
        <v>530</v>
      </c>
      <c r="J31" s="54" t="s">
        <v>36</v>
      </c>
      <c r="L31" s="154"/>
      <c r="M31" s="154"/>
      <c r="N31" s="154"/>
    </row>
    <row r="32" spans="1:14" x14ac:dyDescent="0.35">
      <c r="A32" s="54" t="s">
        <v>531</v>
      </c>
      <c r="B32" s="54" t="s">
        <v>532</v>
      </c>
      <c r="C32" s="54" t="s">
        <v>207</v>
      </c>
      <c r="D32" s="26">
        <v>2</v>
      </c>
      <c r="E32" s="5">
        <v>556</v>
      </c>
      <c r="F32" s="8">
        <v>100000</v>
      </c>
      <c r="G32" s="26">
        <v>200</v>
      </c>
      <c r="H32" s="5">
        <v>55600</v>
      </c>
      <c r="I32" s="54" t="s">
        <v>533</v>
      </c>
      <c r="J32" s="54" t="s">
        <v>534</v>
      </c>
      <c r="L32" s="154" t="s">
        <v>699</v>
      </c>
      <c r="M32" s="154"/>
      <c r="N32" s="154"/>
    </row>
    <row r="33" spans="1:14" x14ac:dyDescent="0.35">
      <c r="A33" s="54" t="s">
        <v>535</v>
      </c>
      <c r="B33" s="54" t="s">
        <v>536</v>
      </c>
      <c r="C33" s="54" t="s">
        <v>208</v>
      </c>
      <c r="D33" s="26">
        <v>20</v>
      </c>
      <c r="E33" s="5">
        <v>5560</v>
      </c>
      <c r="F33" s="8">
        <v>4</v>
      </c>
      <c r="G33" s="26">
        <v>80</v>
      </c>
      <c r="H33" s="5">
        <v>22240</v>
      </c>
      <c r="I33" s="54" t="s">
        <v>537</v>
      </c>
      <c r="J33" s="54" t="s">
        <v>534</v>
      </c>
      <c r="L33" s="154" t="s">
        <v>700</v>
      </c>
      <c r="M33" s="154"/>
      <c r="N33" s="154"/>
    </row>
    <row r="34" spans="1:14" x14ac:dyDescent="0.35">
      <c r="A34" s="54" t="s">
        <v>538</v>
      </c>
      <c r="B34" s="54" t="s">
        <v>539</v>
      </c>
      <c r="C34" s="54" t="s">
        <v>540</v>
      </c>
      <c r="D34" s="26">
        <v>30</v>
      </c>
      <c r="E34" s="5">
        <v>8340</v>
      </c>
      <c r="F34" s="8">
        <v>3</v>
      </c>
      <c r="G34" s="26">
        <v>90</v>
      </c>
      <c r="H34" s="5">
        <v>25020</v>
      </c>
      <c r="I34" s="54" t="s">
        <v>541</v>
      </c>
      <c r="J34" s="54" t="s">
        <v>542</v>
      </c>
      <c r="L34" s="154" t="s">
        <v>701</v>
      </c>
      <c r="M34" s="154"/>
      <c r="N34" s="154"/>
    </row>
    <row r="35" spans="1:14" x14ac:dyDescent="0.35">
      <c r="A35" s="54" t="s">
        <v>543</v>
      </c>
      <c r="B35" s="54" t="s">
        <v>544</v>
      </c>
      <c r="C35" s="54" t="s">
        <v>540</v>
      </c>
      <c r="D35" s="26">
        <v>25</v>
      </c>
      <c r="E35" s="5">
        <v>6950</v>
      </c>
      <c r="F35" s="8">
        <v>5</v>
      </c>
      <c r="G35" s="26">
        <v>125</v>
      </c>
      <c r="H35" s="5">
        <v>34750</v>
      </c>
      <c r="I35" s="54" t="s">
        <v>545</v>
      </c>
      <c r="J35" s="54" t="s">
        <v>542</v>
      </c>
      <c r="L35" s="154" t="s">
        <v>702</v>
      </c>
      <c r="M35" s="154"/>
      <c r="N35" s="154"/>
    </row>
    <row r="36" spans="1:14" x14ac:dyDescent="0.35">
      <c r="A36" s="54" t="s">
        <v>546</v>
      </c>
      <c r="B36" s="54" t="s">
        <v>547</v>
      </c>
      <c r="C36" s="54" t="s">
        <v>548</v>
      </c>
      <c r="D36" s="26">
        <v>12</v>
      </c>
      <c r="E36" s="5">
        <v>3336</v>
      </c>
      <c r="F36" s="8">
        <v>8</v>
      </c>
      <c r="G36" s="26">
        <v>96</v>
      </c>
      <c r="H36" s="5">
        <v>26688</v>
      </c>
      <c r="I36" s="54" t="s">
        <v>549</v>
      </c>
      <c r="J36" s="54" t="s">
        <v>534</v>
      </c>
    </row>
    <row r="37" spans="1:14" x14ac:dyDescent="0.35">
      <c r="A37" s="54" t="s">
        <v>550</v>
      </c>
      <c r="B37" s="54" t="s">
        <v>551</v>
      </c>
      <c r="C37" s="54" t="s">
        <v>209</v>
      </c>
      <c r="D37" s="26">
        <v>15</v>
      </c>
      <c r="E37" s="5">
        <v>4170</v>
      </c>
      <c r="F37" s="8">
        <v>4</v>
      </c>
      <c r="G37" s="26">
        <v>60</v>
      </c>
      <c r="H37" s="5">
        <v>16680</v>
      </c>
      <c r="I37" s="54" t="s">
        <v>552</v>
      </c>
      <c r="J37" s="54" t="s">
        <v>534</v>
      </c>
    </row>
    <row r="38" spans="1:14" x14ac:dyDescent="0.35">
      <c r="A38" s="158" t="s">
        <v>553</v>
      </c>
      <c r="B38" s="158"/>
      <c r="C38" s="158"/>
      <c r="D38" s="158"/>
      <c r="E38" s="158"/>
      <c r="F38" s="167"/>
      <c r="G38" s="159">
        <v>901</v>
      </c>
      <c r="H38" s="168">
        <v>250478</v>
      </c>
      <c r="I38" s="158"/>
      <c r="J38" s="158"/>
    </row>
    <row r="39" spans="1:14" x14ac:dyDescent="0.35">
      <c r="A39" s="158" t="s">
        <v>554</v>
      </c>
      <c r="B39" s="158"/>
      <c r="C39" s="158"/>
      <c r="D39" s="158"/>
      <c r="E39" s="158"/>
      <c r="F39" s="167"/>
      <c r="G39" s="159">
        <v>10812</v>
      </c>
      <c r="H39" s="168">
        <v>3005736</v>
      </c>
      <c r="I39" s="158"/>
      <c r="J39" s="158"/>
    </row>
    <row r="41" spans="1:14" ht="16" x14ac:dyDescent="0.4">
      <c r="A41" s="253" t="s">
        <v>669</v>
      </c>
      <c r="B41" s="253"/>
      <c r="C41" s="253"/>
      <c r="D41" s="253"/>
      <c r="E41" s="253"/>
      <c r="F41" s="253"/>
      <c r="G41" s="253"/>
      <c r="H41" s="253"/>
      <c r="I41" s="253"/>
      <c r="J41" s="253"/>
    </row>
    <row r="42" spans="1:14" x14ac:dyDescent="0.35">
      <c r="A42" s="155" t="s">
        <v>555</v>
      </c>
      <c r="B42" s="155" t="s">
        <v>7</v>
      </c>
      <c r="C42" s="155" t="s">
        <v>89</v>
      </c>
      <c r="D42" s="155" t="s">
        <v>714</v>
      </c>
      <c r="E42" s="155" t="s">
        <v>717</v>
      </c>
      <c r="F42" s="155" t="s">
        <v>718</v>
      </c>
      <c r="G42" s="155" t="s">
        <v>671</v>
      </c>
      <c r="H42" s="155" t="s">
        <v>719</v>
      </c>
      <c r="I42" s="155" t="s">
        <v>720</v>
      </c>
      <c r="J42" s="155" t="s">
        <v>3</v>
      </c>
    </row>
    <row r="43" spans="1:14" x14ac:dyDescent="0.35">
      <c r="A43" s="54" t="s">
        <v>557</v>
      </c>
      <c r="B43" s="54" t="s">
        <v>558</v>
      </c>
      <c r="C43" s="26">
        <v>0.35</v>
      </c>
      <c r="D43" s="5">
        <v>97.3</v>
      </c>
      <c r="E43" s="26">
        <v>4.2</v>
      </c>
      <c r="F43" s="5">
        <v>1167.5999999999999</v>
      </c>
      <c r="G43" s="8">
        <v>100</v>
      </c>
      <c r="H43" s="26">
        <v>35</v>
      </c>
      <c r="I43" s="5">
        <v>9730</v>
      </c>
      <c r="J43" s="54" t="s">
        <v>25</v>
      </c>
    </row>
    <row r="44" spans="1:14" x14ac:dyDescent="0.35">
      <c r="A44" s="54" t="s">
        <v>559</v>
      </c>
      <c r="B44" s="54" t="s">
        <v>560</v>
      </c>
      <c r="C44" s="26">
        <v>0.5</v>
      </c>
      <c r="D44" s="5">
        <v>139</v>
      </c>
      <c r="E44" s="26">
        <v>6</v>
      </c>
      <c r="F44" s="5">
        <v>1668</v>
      </c>
      <c r="G44" s="8">
        <v>50</v>
      </c>
      <c r="H44" s="26">
        <v>25</v>
      </c>
      <c r="I44" s="5">
        <v>6950</v>
      </c>
      <c r="J44" s="54" t="s">
        <v>25</v>
      </c>
    </row>
    <row r="45" spans="1:14" x14ac:dyDescent="0.35">
      <c r="A45" s="54" t="s">
        <v>561</v>
      </c>
      <c r="B45" s="54" t="s">
        <v>562</v>
      </c>
      <c r="C45" s="26">
        <v>0.3</v>
      </c>
      <c r="D45" s="5">
        <v>83.4</v>
      </c>
      <c r="E45" s="26">
        <v>3.6</v>
      </c>
      <c r="F45" s="5">
        <v>1000.8</v>
      </c>
      <c r="G45" s="8">
        <v>30</v>
      </c>
      <c r="H45" s="26">
        <v>9</v>
      </c>
      <c r="I45" s="5">
        <v>2502</v>
      </c>
      <c r="J45" s="54" t="s">
        <v>26</v>
      </c>
    </row>
    <row r="46" spans="1:14" x14ac:dyDescent="0.35">
      <c r="A46" s="54" t="s">
        <v>563</v>
      </c>
      <c r="B46" s="54" t="s">
        <v>564</v>
      </c>
      <c r="C46" s="26">
        <v>0.45</v>
      </c>
      <c r="D46" s="5">
        <v>125.1</v>
      </c>
      <c r="E46" s="26">
        <v>5.4</v>
      </c>
      <c r="F46" s="5">
        <v>1501.2</v>
      </c>
      <c r="G46" s="8">
        <v>80</v>
      </c>
      <c r="H46" s="26">
        <v>36</v>
      </c>
      <c r="I46" s="5">
        <v>10008</v>
      </c>
      <c r="J46" s="54" t="s">
        <v>25</v>
      </c>
    </row>
    <row r="47" spans="1:14" x14ac:dyDescent="0.35">
      <c r="A47" s="54" t="s">
        <v>565</v>
      </c>
      <c r="B47" s="54" t="s">
        <v>566</v>
      </c>
      <c r="C47" s="26">
        <v>0.7</v>
      </c>
      <c r="D47" s="5">
        <v>194.6</v>
      </c>
      <c r="E47" s="26">
        <v>8.4</v>
      </c>
      <c r="F47" s="5">
        <v>2335.1999999999998</v>
      </c>
      <c r="G47" s="8">
        <v>20</v>
      </c>
      <c r="H47" s="26">
        <v>14</v>
      </c>
      <c r="I47" s="5">
        <v>3892</v>
      </c>
      <c r="J47" s="54" t="s">
        <v>33</v>
      </c>
    </row>
    <row r="48" spans="1:14" x14ac:dyDescent="0.35">
      <c r="A48" s="54" t="s">
        <v>567</v>
      </c>
      <c r="B48" s="54" t="s">
        <v>568</v>
      </c>
      <c r="C48" s="26">
        <v>0.9</v>
      </c>
      <c r="D48" s="5">
        <v>250.2</v>
      </c>
      <c r="E48" s="26">
        <v>10.8</v>
      </c>
      <c r="F48" s="5">
        <v>3002.4</v>
      </c>
      <c r="G48" s="8">
        <v>15</v>
      </c>
      <c r="H48" s="26">
        <v>13.5</v>
      </c>
      <c r="I48" s="5">
        <v>3753</v>
      </c>
      <c r="J48" s="54" t="s">
        <v>569</v>
      </c>
    </row>
    <row r="49" spans="1:10" x14ac:dyDescent="0.35">
      <c r="A49" s="158" t="s">
        <v>672</v>
      </c>
      <c r="B49" s="158"/>
      <c r="C49" s="158"/>
      <c r="D49" s="158"/>
      <c r="E49" s="158"/>
      <c r="F49" s="167"/>
      <c r="G49" s="167">
        <v>295</v>
      </c>
      <c r="H49" s="159">
        <v>132.5</v>
      </c>
      <c r="I49" s="168">
        <v>36835</v>
      </c>
      <c r="J49" s="158"/>
    </row>
    <row r="51" spans="1:10" ht="16" x14ac:dyDescent="0.4">
      <c r="A51" s="253" t="s">
        <v>673</v>
      </c>
      <c r="B51" s="253"/>
      <c r="C51" s="253"/>
      <c r="D51" s="253"/>
      <c r="E51" s="253"/>
      <c r="F51" s="253"/>
      <c r="G51" s="253"/>
      <c r="H51" s="253"/>
      <c r="I51" s="253"/>
      <c r="J51" s="253"/>
    </row>
    <row r="52" spans="1:10" x14ac:dyDescent="0.35">
      <c r="A52" s="155" t="s">
        <v>14</v>
      </c>
      <c r="B52" s="155" t="s">
        <v>82</v>
      </c>
      <c r="C52" s="155" t="s">
        <v>206</v>
      </c>
      <c r="D52" s="155" t="s">
        <v>712</v>
      </c>
      <c r="E52" s="155" t="s">
        <v>713</v>
      </c>
      <c r="F52" s="155" t="s">
        <v>90</v>
      </c>
      <c r="G52" s="155" t="s">
        <v>570</v>
      </c>
      <c r="H52" s="155" t="s">
        <v>717</v>
      </c>
      <c r="I52" s="155" t="s">
        <v>718</v>
      </c>
      <c r="J52" s="155" t="s">
        <v>3</v>
      </c>
    </row>
    <row r="53" spans="1:10" x14ac:dyDescent="0.35">
      <c r="A53" s="54" t="s">
        <v>571</v>
      </c>
      <c r="B53" s="54" t="s">
        <v>230</v>
      </c>
      <c r="C53" s="54" t="s">
        <v>210</v>
      </c>
      <c r="D53" s="26">
        <v>1000</v>
      </c>
      <c r="E53" s="5">
        <v>278000</v>
      </c>
      <c r="F53" s="54" t="s">
        <v>572</v>
      </c>
      <c r="G53" s="54">
        <v>1</v>
      </c>
      <c r="H53" s="26">
        <v>1000</v>
      </c>
      <c r="I53" s="5">
        <v>278000</v>
      </c>
      <c r="J53" s="54" t="s">
        <v>25</v>
      </c>
    </row>
    <row r="54" spans="1:10" x14ac:dyDescent="0.35">
      <c r="A54" s="54" t="s">
        <v>573</v>
      </c>
      <c r="B54" s="54" t="s">
        <v>231</v>
      </c>
      <c r="C54" s="54" t="s">
        <v>210</v>
      </c>
      <c r="D54" s="26">
        <v>500</v>
      </c>
      <c r="E54" s="5">
        <v>139000</v>
      </c>
      <c r="F54" s="54" t="s">
        <v>574</v>
      </c>
      <c r="G54" s="54">
        <v>3</v>
      </c>
      <c r="H54" s="26">
        <v>1500</v>
      </c>
      <c r="I54" s="5">
        <v>417000</v>
      </c>
      <c r="J54" s="54" t="s">
        <v>25</v>
      </c>
    </row>
    <row r="55" spans="1:10" x14ac:dyDescent="0.35">
      <c r="A55" s="54" t="s">
        <v>575</v>
      </c>
      <c r="B55" s="54" t="s">
        <v>231</v>
      </c>
      <c r="C55" s="54" t="s">
        <v>210</v>
      </c>
      <c r="D55" s="26">
        <v>700</v>
      </c>
      <c r="E55" s="5">
        <v>194600</v>
      </c>
      <c r="F55" s="54" t="s">
        <v>576</v>
      </c>
      <c r="G55" s="54">
        <v>2</v>
      </c>
      <c r="H55" s="26">
        <v>1400</v>
      </c>
      <c r="I55" s="5">
        <v>389200</v>
      </c>
      <c r="J55" s="54" t="s">
        <v>25</v>
      </c>
    </row>
    <row r="56" spans="1:10" x14ac:dyDescent="0.35">
      <c r="A56" s="54" t="s">
        <v>577</v>
      </c>
      <c r="B56" s="54" t="s">
        <v>232</v>
      </c>
      <c r="C56" s="54" t="s">
        <v>212</v>
      </c>
      <c r="D56" s="26">
        <v>300</v>
      </c>
      <c r="E56" s="5">
        <v>83400</v>
      </c>
      <c r="F56" s="54" t="s">
        <v>578</v>
      </c>
      <c r="G56" s="54">
        <v>4</v>
      </c>
      <c r="H56" s="26">
        <v>1200</v>
      </c>
      <c r="I56" s="5">
        <v>333600</v>
      </c>
      <c r="J56" s="54" t="s">
        <v>26</v>
      </c>
    </row>
    <row r="57" spans="1:10" x14ac:dyDescent="0.35">
      <c r="A57" s="54" t="s">
        <v>579</v>
      </c>
      <c r="B57" s="54" t="s">
        <v>233</v>
      </c>
      <c r="C57" s="54" t="s">
        <v>213</v>
      </c>
      <c r="D57" s="26">
        <v>100</v>
      </c>
      <c r="E57" s="5">
        <v>27800</v>
      </c>
      <c r="F57" s="54" t="s">
        <v>580</v>
      </c>
      <c r="G57" s="54">
        <v>6</v>
      </c>
      <c r="H57" s="26">
        <v>600</v>
      </c>
      <c r="I57" s="5">
        <v>166800</v>
      </c>
      <c r="J57" s="54" t="s">
        <v>26</v>
      </c>
    </row>
    <row r="58" spans="1:10" x14ac:dyDescent="0.35">
      <c r="A58" s="54" t="s">
        <v>203</v>
      </c>
      <c r="B58" s="54" t="s">
        <v>233</v>
      </c>
      <c r="C58" s="54" t="s">
        <v>163</v>
      </c>
      <c r="D58" s="26">
        <v>60</v>
      </c>
      <c r="E58" s="5">
        <v>16680</v>
      </c>
      <c r="F58" s="54" t="s">
        <v>581</v>
      </c>
      <c r="G58" s="54">
        <v>10</v>
      </c>
      <c r="H58" s="26">
        <v>600</v>
      </c>
      <c r="I58" s="5">
        <v>166800</v>
      </c>
      <c r="J58" s="54" t="s">
        <v>25</v>
      </c>
    </row>
    <row r="59" spans="1:10" x14ac:dyDescent="0.35">
      <c r="A59" s="158" t="s">
        <v>674</v>
      </c>
      <c r="B59" s="158"/>
      <c r="C59" s="158"/>
      <c r="D59" s="158"/>
      <c r="E59" s="158"/>
      <c r="F59" s="158"/>
      <c r="G59" s="158"/>
      <c r="H59" s="159">
        <v>6300</v>
      </c>
      <c r="I59" s="168">
        <v>1751400</v>
      </c>
      <c r="J59" s="158"/>
    </row>
    <row r="61" spans="1:10" ht="16" x14ac:dyDescent="0.4">
      <c r="A61" s="256" t="s">
        <v>675</v>
      </c>
      <c r="B61" s="257"/>
      <c r="C61" s="257"/>
      <c r="D61" s="257"/>
      <c r="E61" s="257"/>
      <c r="F61" s="257"/>
      <c r="G61" s="257"/>
      <c r="H61" s="257"/>
      <c r="I61" s="257"/>
      <c r="J61" s="257"/>
    </row>
    <row r="62" spans="1:10" x14ac:dyDescent="0.35">
      <c r="A62" s="258" t="s">
        <v>707</v>
      </c>
      <c r="B62" s="258"/>
      <c r="C62" s="258"/>
      <c r="D62" s="50" t="s">
        <v>708</v>
      </c>
      <c r="E62" s="258" t="s">
        <v>721</v>
      </c>
      <c r="F62" s="258"/>
      <c r="G62" s="258"/>
    </row>
    <row r="63" spans="1:10" x14ac:dyDescent="0.35">
      <c r="A63" t="s">
        <v>582</v>
      </c>
      <c r="B63" s="10">
        <v>150000</v>
      </c>
      <c r="D63" t="s">
        <v>585</v>
      </c>
      <c r="E63" s="20">
        <v>270</v>
      </c>
      <c r="F63" s="4">
        <v>75060</v>
      </c>
      <c r="G63" s="4">
        <v>69500</v>
      </c>
    </row>
    <row r="64" spans="1:10" x14ac:dyDescent="0.35">
      <c r="A64" t="s">
        <v>583</v>
      </c>
      <c r="B64" s="10">
        <v>25000</v>
      </c>
      <c r="D64" t="s">
        <v>709</v>
      </c>
      <c r="E64" s="20">
        <v>180</v>
      </c>
      <c r="F64" s="4">
        <v>50040</v>
      </c>
      <c r="G64" s="4">
        <v>55600</v>
      </c>
    </row>
    <row r="65" spans="1:10" x14ac:dyDescent="0.35">
      <c r="A65" t="s">
        <v>584</v>
      </c>
      <c r="B65" s="10">
        <v>12000</v>
      </c>
      <c r="D65" t="s">
        <v>217</v>
      </c>
      <c r="E65" s="20">
        <v>72</v>
      </c>
      <c r="F65" s="4">
        <v>20016</v>
      </c>
      <c r="G65" s="4">
        <v>22240</v>
      </c>
    </row>
    <row r="66" spans="1:10" x14ac:dyDescent="0.35">
      <c r="A66" t="s">
        <v>676</v>
      </c>
      <c r="B66" s="11">
        <v>5.0000000000000001E-3</v>
      </c>
      <c r="D66" t="s">
        <v>587</v>
      </c>
      <c r="E66" s="20">
        <v>136</v>
      </c>
      <c r="F66" s="4">
        <v>37808</v>
      </c>
      <c r="G66" s="4">
        <v>36835</v>
      </c>
    </row>
    <row r="67" spans="1:10" x14ac:dyDescent="0.35">
      <c r="A67" t="s">
        <v>677</v>
      </c>
      <c r="B67" s="30">
        <v>0.54</v>
      </c>
      <c r="D67" t="s">
        <v>710</v>
      </c>
      <c r="E67" s="20">
        <v>531</v>
      </c>
      <c r="F67" s="4">
        <v>147618</v>
      </c>
      <c r="G67">
        <v>145950</v>
      </c>
    </row>
    <row r="68" spans="1:10" x14ac:dyDescent="0.35">
      <c r="A68" t="s">
        <v>678</v>
      </c>
      <c r="B68" s="10">
        <v>278</v>
      </c>
      <c r="D68" t="s">
        <v>711</v>
      </c>
      <c r="E68" s="20"/>
      <c r="F68" s="4"/>
    </row>
    <row r="69" spans="1:10" ht="16" x14ac:dyDescent="0.4">
      <c r="D69" s="134" t="s">
        <v>588</v>
      </c>
      <c r="E69" s="31">
        <v>1189</v>
      </c>
      <c r="F69" s="12">
        <v>330542</v>
      </c>
      <c r="G69" s="135"/>
    </row>
    <row r="70" spans="1:10" ht="18.5" x14ac:dyDescent="0.45">
      <c r="D70" s="134" t="s">
        <v>589</v>
      </c>
      <c r="E70" s="32">
        <v>14268</v>
      </c>
      <c r="F70" s="13">
        <v>3966504</v>
      </c>
      <c r="G70" s="3">
        <v>330542</v>
      </c>
    </row>
    <row r="71" spans="1:10" x14ac:dyDescent="0.35">
      <c r="E71" s="33" t="s">
        <v>679</v>
      </c>
      <c r="F71">
        <v>14268</v>
      </c>
    </row>
    <row r="72" spans="1:10" ht="16" x14ac:dyDescent="0.4">
      <c r="A72" s="266"/>
      <c r="B72" s="267"/>
      <c r="C72" s="267"/>
      <c r="D72" s="267"/>
      <c r="E72" s="268"/>
      <c r="F72" s="269"/>
      <c r="G72" s="267"/>
      <c r="H72" s="267"/>
      <c r="I72" s="267"/>
      <c r="J72" s="267"/>
    </row>
    <row r="73" spans="1:10" x14ac:dyDescent="0.35">
      <c r="A73" s="136" t="s">
        <v>22</v>
      </c>
      <c r="B73" s="136" t="s">
        <v>590</v>
      </c>
      <c r="C73" s="136" t="s">
        <v>591</v>
      </c>
      <c r="D73" s="136" t="s">
        <v>592</v>
      </c>
      <c r="E73" s="136" t="s">
        <v>234</v>
      </c>
      <c r="F73" s="136" t="s">
        <v>593</v>
      </c>
      <c r="G73" s="136" t="s">
        <v>237</v>
      </c>
      <c r="H73" s="136" t="s">
        <v>23</v>
      </c>
      <c r="I73" s="136" t="s">
        <v>210</v>
      </c>
      <c r="J73" s="136" t="s">
        <v>238</v>
      </c>
    </row>
    <row r="74" spans="1:10" ht="16" x14ac:dyDescent="0.4">
      <c r="A74" s="262" t="s">
        <v>690</v>
      </c>
      <c r="B74" s="244"/>
      <c r="C74" s="244"/>
      <c r="D74" s="244"/>
      <c r="E74" s="244"/>
      <c r="F74" s="244"/>
      <c r="G74" s="244"/>
      <c r="H74" s="244"/>
      <c r="I74" s="244"/>
      <c r="J74" s="244"/>
    </row>
    <row r="75" spans="1:10" x14ac:dyDescent="0.35">
      <c r="A75" s="53" t="s">
        <v>22</v>
      </c>
      <c r="B75" s="53" t="s">
        <v>590</v>
      </c>
      <c r="C75" s="53" t="s">
        <v>591</v>
      </c>
      <c r="D75" s="53" t="s">
        <v>691</v>
      </c>
      <c r="E75" s="14" t="s">
        <v>692</v>
      </c>
      <c r="F75" s="14" t="s">
        <v>693</v>
      </c>
      <c r="G75" s="14" t="s">
        <v>694</v>
      </c>
      <c r="H75" s="14" t="s">
        <v>688</v>
      </c>
      <c r="I75" s="14" t="s">
        <v>689</v>
      </c>
      <c r="J75" s="14" t="s">
        <v>670</v>
      </c>
    </row>
    <row r="76" spans="1:10" x14ac:dyDescent="0.35">
      <c r="A76" s="54" t="s">
        <v>594</v>
      </c>
      <c r="B76" s="8">
        <v>25000</v>
      </c>
      <c r="C76" s="8">
        <v>150000</v>
      </c>
      <c r="D76" s="26">
        <v>860</v>
      </c>
      <c r="E76" s="5">
        <v>239080</v>
      </c>
      <c r="F76" s="26">
        <v>136</v>
      </c>
      <c r="G76" s="26">
        <v>531</v>
      </c>
      <c r="H76" s="26">
        <v>1527</v>
      </c>
      <c r="I76" s="5">
        <v>424506</v>
      </c>
      <c r="J76" s="26">
        <v>18324</v>
      </c>
    </row>
    <row r="77" spans="1:10" x14ac:dyDescent="0.35">
      <c r="A77" s="54" t="s">
        <v>595</v>
      </c>
      <c r="B77" s="8">
        <v>75000</v>
      </c>
      <c r="C77" s="8">
        <v>450000</v>
      </c>
      <c r="D77" s="26">
        <v>2580</v>
      </c>
      <c r="E77" s="5">
        <v>717240</v>
      </c>
      <c r="F77" s="26">
        <v>408</v>
      </c>
      <c r="G77" s="26">
        <v>1062</v>
      </c>
      <c r="H77" s="26">
        <v>4050</v>
      </c>
      <c r="I77" s="5">
        <v>1125900</v>
      </c>
      <c r="J77" s="26">
        <v>48600</v>
      </c>
    </row>
    <row r="78" spans="1:10" x14ac:dyDescent="0.35">
      <c r="A78" s="54" t="s">
        <v>596</v>
      </c>
      <c r="B78" s="8">
        <v>200000</v>
      </c>
      <c r="C78" s="8">
        <v>1200000</v>
      </c>
      <c r="D78" s="26">
        <v>6880</v>
      </c>
      <c r="E78" s="5">
        <v>1912640</v>
      </c>
      <c r="F78" s="26">
        <v>1087</v>
      </c>
      <c r="G78" s="26">
        <v>2124</v>
      </c>
      <c r="H78" s="26">
        <v>10091</v>
      </c>
      <c r="I78" s="5">
        <v>2805298</v>
      </c>
      <c r="J78" s="26">
        <v>121092</v>
      </c>
    </row>
    <row r="79" spans="1:10" ht="16" x14ac:dyDescent="0.4">
      <c r="A79" s="270" t="s">
        <v>597</v>
      </c>
      <c r="B79" s="271"/>
      <c r="C79" s="271"/>
      <c r="D79" s="272"/>
      <c r="E79" s="273"/>
      <c r="F79" s="272"/>
      <c r="G79" s="272"/>
      <c r="H79" s="272"/>
      <c r="I79" s="273"/>
      <c r="J79" s="272"/>
    </row>
    <row r="80" spans="1:10" x14ac:dyDescent="0.35">
      <c r="A80" s="137" t="s">
        <v>397</v>
      </c>
      <c r="B80" s="137" t="s">
        <v>199</v>
      </c>
      <c r="C80" s="137" t="s">
        <v>0</v>
      </c>
      <c r="D80" s="137" t="s">
        <v>556</v>
      </c>
      <c r="E80" s="137" t="s">
        <v>598</v>
      </c>
      <c r="F80" s="137" t="s">
        <v>599</v>
      </c>
      <c r="G80" s="137" t="s">
        <v>600</v>
      </c>
      <c r="H80" s="137" t="s">
        <v>17</v>
      </c>
      <c r="I80" s="137"/>
      <c r="J80" s="137"/>
    </row>
    <row r="81" spans="1:10" x14ac:dyDescent="0.35">
      <c r="A81" t="s">
        <v>601</v>
      </c>
      <c r="B81" t="s">
        <v>602</v>
      </c>
      <c r="C81" t="s">
        <v>603</v>
      </c>
      <c r="D81" s="2">
        <v>25000</v>
      </c>
      <c r="E81">
        <v>0</v>
      </c>
      <c r="F81" s="2">
        <v>70000</v>
      </c>
      <c r="G81" t="s">
        <v>604</v>
      </c>
      <c r="H81" t="s">
        <v>36</v>
      </c>
    </row>
    <row r="82" spans="1:10" x14ac:dyDescent="0.35">
      <c r="A82" t="s">
        <v>605</v>
      </c>
      <c r="B82" t="s">
        <v>606</v>
      </c>
      <c r="C82" t="s">
        <v>607</v>
      </c>
      <c r="D82" s="2">
        <v>60000</v>
      </c>
      <c r="E82" s="2">
        <v>100000</v>
      </c>
      <c r="F82" s="2">
        <v>200000</v>
      </c>
      <c r="G82" t="s">
        <v>608</v>
      </c>
      <c r="H82" t="s">
        <v>609</v>
      </c>
    </row>
    <row r="83" spans="1:10" x14ac:dyDescent="0.35">
      <c r="A83" t="s">
        <v>610</v>
      </c>
      <c r="B83" t="s">
        <v>611</v>
      </c>
      <c r="C83" t="s">
        <v>612</v>
      </c>
      <c r="D83" s="2">
        <v>150000</v>
      </c>
      <c r="E83" s="2">
        <v>200000</v>
      </c>
      <c r="F83" s="2">
        <v>500000</v>
      </c>
      <c r="G83" t="s">
        <v>613</v>
      </c>
      <c r="H83" t="s">
        <v>609</v>
      </c>
    </row>
    <row r="84" spans="1:10" x14ac:dyDescent="0.35">
      <c r="A84" t="s">
        <v>614</v>
      </c>
      <c r="B84" t="s">
        <v>615</v>
      </c>
      <c r="C84" t="s">
        <v>616</v>
      </c>
      <c r="D84" s="2">
        <v>300000</v>
      </c>
      <c r="E84" s="2">
        <v>300000</v>
      </c>
      <c r="F84" s="2">
        <v>1200000</v>
      </c>
      <c r="G84" t="s">
        <v>617</v>
      </c>
      <c r="H84" t="s">
        <v>569</v>
      </c>
    </row>
    <row r="85" spans="1:10" x14ac:dyDescent="0.35">
      <c r="A85" t="s">
        <v>618</v>
      </c>
      <c r="B85" t="s">
        <v>619</v>
      </c>
      <c r="C85" t="s">
        <v>620</v>
      </c>
      <c r="D85" s="2">
        <v>500000</v>
      </c>
      <c r="E85" s="2">
        <v>500000</v>
      </c>
      <c r="F85" s="2">
        <v>2500000</v>
      </c>
      <c r="G85" t="s">
        <v>621</v>
      </c>
      <c r="H85" t="s">
        <v>569</v>
      </c>
    </row>
    <row r="87" spans="1:10" ht="16" x14ac:dyDescent="0.4">
      <c r="A87" s="274" t="s">
        <v>622</v>
      </c>
      <c r="B87" s="275"/>
      <c r="C87" s="275"/>
      <c r="D87" s="275"/>
      <c r="E87" s="275"/>
      <c r="F87" s="275"/>
      <c r="G87" s="275"/>
      <c r="H87" s="275"/>
      <c r="I87" s="275"/>
      <c r="J87" s="275"/>
    </row>
    <row r="88" spans="1:10" x14ac:dyDescent="0.35">
      <c r="A88" s="129" t="s">
        <v>4</v>
      </c>
      <c r="B88" s="129" t="s">
        <v>241</v>
      </c>
      <c r="C88" s="129" t="s">
        <v>623</v>
      </c>
      <c r="D88" s="129" t="s">
        <v>242</v>
      </c>
      <c r="E88" s="129" t="s">
        <v>6</v>
      </c>
    </row>
    <row r="89" spans="1:10" x14ac:dyDescent="0.35">
      <c r="A89" s="54" t="s">
        <v>624</v>
      </c>
      <c r="B89" s="8">
        <v>12000</v>
      </c>
      <c r="C89" s="8">
        <v>20000</v>
      </c>
      <c r="D89" s="8">
        <v>50000</v>
      </c>
      <c r="E89" s="54" t="s">
        <v>625</v>
      </c>
    </row>
    <row r="90" spans="1:10" x14ac:dyDescent="0.35">
      <c r="A90" s="54" t="s">
        <v>626</v>
      </c>
      <c r="B90" s="8">
        <v>150000</v>
      </c>
      <c r="C90" s="8">
        <v>300000</v>
      </c>
      <c r="D90" s="8">
        <v>800000</v>
      </c>
      <c r="E90" s="54" t="s">
        <v>627</v>
      </c>
    </row>
    <row r="91" spans="1:10" x14ac:dyDescent="0.35">
      <c r="A91" s="54" t="s">
        <v>628</v>
      </c>
      <c r="B91" s="8">
        <v>12000</v>
      </c>
      <c r="C91" s="8">
        <v>18000</v>
      </c>
      <c r="D91" s="8">
        <v>40000</v>
      </c>
      <c r="E91" s="54" t="s">
        <v>629</v>
      </c>
    </row>
    <row r="92" spans="1:10" x14ac:dyDescent="0.35">
      <c r="A92" s="54" t="s">
        <v>630</v>
      </c>
      <c r="B92" s="8">
        <v>50000</v>
      </c>
      <c r="C92" s="8">
        <v>60000</v>
      </c>
      <c r="D92" s="8">
        <v>100000</v>
      </c>
      <c r="E92" s="54" t="s">
        <v>631</v>
      </c>
    </row>
    <row r="93" spans="1:10" x14ac:dyDescent="0.35">
      <c r="A93" s="54" t="s">
        <v>496</v>
      </c>
      <c r="B93" s="54">
        <v>450</v>
      </c>
      <c r="C93" s="54">
        <v>800</v>
      </c>
      <c r="D93" s="8">
        <v>2000</v>
      </c>
      <c r="E93" s="54" t="s">
        <v>632</v>
      </c>
    </row>
    <row r="94" spans="1:10" x14ac:dyDescent="0.35">
      <c r="A94" s="54" t="s">
        <v>633</v>
      </c>
      <c r="B94" s="54" t="s">
        <v>634</v>
      </c>
      <c r="C94" s="54" t="s">
        <v>635</v>
      </c>
      <c r="D94" s="54" t="s">
        <v>636</v>
      </c>
      <c r="E94" s="54" t="s">
        <v>637</v>
      </c>
    </row>
    <row r="95" spans="1:10" x14ac:dyDescent="0.35">
      <c r="A95" s="54" t="s">
        <v>638</v>
      </c>
      <c r="B95" s="8">
        <v>45000</v>
      </c>
      <c r="C95" s="8">
        <v>80000</v>
      </c>
      <c r="D95" s="8">
        <v>150000</v>
      </c>
      <c r="E95" s="54" t="s">
        <v>639</v>
      </c>
    </row>
    <row r="96" spans="1:10" x14ac:dyDescent="0.35">
      <c r="A96" s="54" t="s">
        <v>640</v>
      </c>
      <c r="B96" s="15">
        <v>5.0000000000000001E-3</v>
      </c>
      <c r="C96" s="6">
        <v>0.01</v>
      </c>
      <c r="D96" s="6">
        <v>0.02</v>
      </c>
      <c r="E96" s="54" t="s">
        <v>641</v>
      </c>
    </row>
    <row r="98" spans="1:10" ht="16" x14ac:dyDescent="0.4">
      <c r="A98" s="256" t="s">
        <v>421</v>
      </c>
      <c r="B98" s="276"/>
      <c r="C98" s="276"/>
      <c r="D98" s="276"/>
      <c r="E98" s="276"/>
      <c r="F98" s="276"/>
      <c r="G98" s="276"/>
      <c r="H98" s="276"/>
      <c r="I98" s="276"/>
      <c r="J98" s="276"/>
    </row>
    <row r="99" spans="1:10" x14ac:dyDescent="0.35">
      <c r="A99" s="138" t="s">
        <v>2</v>
      </c>
      <c r="B99" s="138" t="s">
        <v>19</v>
      </c>
      <c r="C99" s="138" t="s">
        <v>20</v>
      </c>
      <c r="D99" s="138" t="s">
        <v>3</v>
      </c>
      <c r="E99" s="138" t="s">
        <v>21</v>
      </c>
      <c r="F99" s="138" t="s">
        <v>17</v>
      </c>
      <c r="G99" s="138" t="s">
        <v>70</v>
      </c>
      <c r="H99" s="138"/>
    </row>
    <row r="100" spans="1:10" x14ac:dyDescent="0.35">
      <c r="A100" s="54">
        <v>1</v>
      </c>
      <c r="B100" s="54" t="s">
        <v>642</v>
      </c>
      <c r="C100" s="54" t="s">
        <v>248</v>
      </c>
      <c r="D100" s="54" t="s">
        <v>25</v>
      </c>
      <c r="E100" s="54" t="s">
        <v>244</v>
      </c>
      <c r="F100" s="54" t="s">
        <v>245</v>
      </c>
      <c r="G100" s="54" t="s">
        <v>643</v>
      </c>
      <c r="H100" s="54"/>
    </row>
    <row r="101" spans="1:10" x14ac:dyDescent="0.35">
      <c r="A101" s="54">
        <v>2</v>
      </c>
      <c r="B101" s="54" t="s">
        <v>644</v>
      </c>
      <c r="C101" s="54" t="s">
        <v>645</v>
      </c>
      <c r="D101" s="54" t="s">
        <v>25</v>
      </c>
      <c r="E101" s="54" t="s">
        <v>247</v>
      </c>
      <c r="F101" s="54" t="s">
        <v>245</v>
      </c>
      <c r="G101" s="54" t="s">
        <v>646</v>
      </c>
      <c r="H101" s="54"/>
    </row>
    <row r="102" spans="1:10" x14ac:dyDescent="0.35">
      <c r="A102" s="54">
        <v>3</v>
      </c>
      <c r="B102" s="54" t="s">
        <v>647</v>
      </c>
      <c r="C102" s="54" t="s">
        <v>243</v>
      </c>
      <c r="D102" s="54" t="s">
        <v>25</v>
      </c>
      <c r="E102" s="54" t="s">
        <v>246</v>
      </c>
      <c r="F102" s="54" t="s">
        <v>245</v>
      </c>
      <c r="G102" s="54" t="s">
        <v>648</v>
      </c>
      <c r="H102" s="54"/>
    </row>
    <row r="103" spans="1:10" x14ac:dyDescent="0.35">
      <c r="A103" s="54">
        <v>4</v>
      </c>
      <c r="B103" s="54" t="s">
        <v>649</v>
      </c>
      <c r="C103" s="54" t="s">
        <v>248</v>
      </c>
      <c r="D103" s="54" t="s">
        <v>25</v>
      </c>
      <c r="E103" s="54" t="s">
        <v>249</v>
      </c>
      <c r="F103" s="54" t="s">
        <v>245</v>
      </c>
      <c r="G103" s="54" t="s">
        <v>650</v>
      </c>
      <c r="H103" s="54"/>
    </row>
    <row r="104" spans="1:10" x14ac:dyDescent="0.35">
      <c r="A104" s="54">
        <v>5</v>
      </c>
      <c r="B104" s="54" t="s">
        <v>651</v>
      </c>
      <c r="C104" s="54" t="s">
        <v>250</v>
      </c>
      <c r="D104" s="54" t="s">
        <v>25</v>
      </c>
      <c r="E104" s="54" t="s">
        <v>244</v>
      </c>
      <c r="F104" s="54" t="s">
        <v>423</v>
      </c>
      <c r="G104" s="54" t="s">
        <v>652</v>
      </c>
      <c r="H104" s="54"/>
    </row>
    <row r="105" spans="1:10" x14ac:dyDescent="0.35">
      <c r="A105" s="54">
        <v>6</v>
      </c>
      <c r="B105" s="54" t="s">
        <v>653</v>
      </c>
      <c r="C105" s="54" t="s">
        <v>645</v>
      </c>
      <c r="D105" s="54" t="s">
        <v>26</v>
      </c>
      <c r="E105" s="54" t="s">
        <v>249</v>
      </c>
      <c r="F105" s="54" t="s">
        <v>245</v>
      </c>
      <c r="G105" s="54" t="s">
        <v>654</v>
      </c>
      <c r="H105" s="54"/>
    </row>
    <row r="106" spans="1:10" x14ac:dyDescent="0.35">
      <c r="A106" s="54">
        <v>7</v>
      </c>
      <c r="B106" s="54" t="s">
        <v>655</v>
      </c>
      <c r="C106" s="54" t="s">
        <v>243</v>
      </c>
      <c r="D106" s="54" t="s">
        <v>26</v>
      </c>
      <c r="E106" s="54" t="s">
        <v>251</v>
      </c>
      <c r="F106" s="54" t="s">
        <v>245</v>
      </c>
      <c r="G106" s="54" t="s">
        <v>429</v>
      </c>
      <c r="H106" s="54"/>
    </row>
    <row r="107" spans="1:10" x14ac:dyDescent="0.35">
      <c r="A107" s="54">
        <v>8</v>
      </c>
      <c r="B107" s="54" t="s">
        <v>656</v>
      </c>
      <c r="C107" s="54" t="s">
        <v>248</v>
      </c>
      <c r="D107" s="54" t="s">
        <v>26</v>
      </c>
      <c r="E107" s="54" t="s">
        <v>251</v>
      </c>
      <c r="F107" s="54" t="s">
        <v>245</v>
      </c>
      <c r="G107" s="54" t="s">
        <v>657</v>
      </c>
      <c r="H107" s="54"/>
    </row>
    <row r="109" spans="1:10" ht="16" x14ac:dyDescent="0.4">
      <c r="A109" s="277" t="s">
        <v>658</v>
      </c>
      <c r="B109" s="278"/>
      <c r="C109" s="278"/>
      <c r="D109" s="278"/>
      <c r="E109" s="278"/>
      <c r="F109" s="278"/>
      <c r="G109" s="278"/>
      <c r="H109" s="278"/>
      <c r="I109" s="278"/>
      <c r="J109" s="278"/>
    </row>
    <row r="110" spans="1:10" x14ac:dyDescent="0.35">
      <c r="A110" s="259" t="s">
        <v>666</v>
      </c>
      <c r="B110" s="260"/>
      <c r="C110" s="260"/>
      <c r="D110" s="260"/>
      <c r="E110" s="260"/>
      <c r="F110" s="260"/>
      <c r="G110" s="260"/>
      <c r="H110" s="260"/>
      <c r="I110" s="260"/>
      <c r="J110" s="260"/>
    </row>
    <row r="111" spans="1:10" x14ac:dyDescent="0.35">
      <c r="A111" s="259" t="s">
        <v>659</v>
      </c>
      <c r="B111" s="261"/>
      <c r="C111" s="261"/>
      <c r="D111" s="261"/>
      <c r="E111" s="261"/>
      <c r="F111" s="261"/>
      <c r="G111" s="261"/>
      <c r="H111" s="261"/>
      <c r="I111" s="261"/>
      <c r="J111" s="261"/>
    </row>
    <row r="112" spans="1:10" x14ac:dyDescent="0.35">
      <c r="A112" s="259" t="s">
        <v>660</v>
      </c>
      <c r="B112" s="260"/>
      <c r="C112" s="260"/>
      <c r="D112" s="260"/>
      <c r="E112" s="260"/>
      <c r="F112" s="260"/>
      <c r="G112" s="260"/>
      <c r="H112" s="260"/>
      <c r="I112" s="260"/>
      <c r="J112" s="260"/>
    </row>
    <row r="113" spans="1:10" x14ac:dyDescent="0.35">
      <c r="A113" s="259" t="s">
        <v>661</v>
      </c>
      <c r="B113" s="261"/>
      <c r="C113" s="261"/>
      <c r="D113" s="261"/>
      <c r="E113" s="261"/>
      <c r="F113" s="261"/>
      <c r="G113" s="261"/>
      <c r="H113" s="261"/>
      <c r="I113" s="261"/>
      <c r="J113" s="261"/>
    </row>
    <row r="114" spans="1:10" x14ac:dyDescent="0.35">
      <c r="A114" s="259" t="s">
        <v>662</v>
      </c>
      <c r="B114" s="260"/>
      <c r="C114" s="260"/>
      <c r="D114" s="260"/>
      <c r="E114" s="260"/>
      <c r="F114" s="260"/>
      <c r="G114" s="260"/>
      <c r="H114" s="260"/>
      <c r="I114" s="260"/>
      <c r="J114" s="260"/>
    </row>
    <row r="115" spans="1:10" x14ac:dyDescent="0.35">
      <c r="A115" s="259" t="s">
        <v>663</v>
      </c>
      <c r="B115" s="261"/>
      <c r="C115" s="261"/>
      <c r="D115" s="261"/>
      <c r="E115" s="261"/>
      <c r="F115" s="261"/>
      <c r="G115" s="261"/>
      <c r="H115" s="261"/>
      <c r="I115" s="261"/>
      <c r="J115" s="261"/>
    </row>
    <row r="116" spans="1:10" x14ac:dyDescent="0.35">
      <c r="A116" s="259" t="s">
        <v>664</v>
      </c>
      <c r="B116" s="260"/>
      <c r="C116" s="260"/>
      <c r="D116" s="260"/>
      <c r="E116" s="260"/>
      <c r="F116" s="260"/>
      <c r="G116" s="260"/>
      <c r="H116" s="260"/>
      <c r="I116" s="260"/>
      <c r="J116" s="260"/>
    </row>
    <row r="117" spans="1:10" x14ac:dyDescent="0.35">
      <c r="A117" s="259" t="s">
        <v>665</v>
      </c>
      <c r="B117" s="261"/>
      <c r="C117" s="261"/>
      <c r="D117" s="261"/>
      <c r="E117" s="261"/>
      <c r="F117" s="261"/>
      <c r="G117" s="261"/>
      <c r="H117" s="261"/>
      <c r="I117" s="261"/>
      <c r="J117" s="261"/>
    </row>
  </sheetData>
  <mergeCells count="26">
    <mergeCell ref="A116:J116"/>
    <mergeCell ref="A117:J117"/>
    <mergeCell ref="A74:J74"/>
    <mergeCell ref="L27:N27"/>
    <mergeCell ref="A110:J110"/>
    <mergeCell ref="A111:J111"/>
    <mergeCell ref="A112:J112"/>
    <mergeCell ref="A113:J113"/>
    <mergeCell ref="A114:J114"/>
    <mergeCell ref="A115:J115"/>
    <mergeCell ref="E62:G62"/>
    <mergeCell ref="A72:J72"/>
    <mergeCell ref="A79:J79"/>
    <mergeCell ref="A87:J87"/>
    <mergeCell ref="A98:J98"/>
    <mergeCell ref="A109:J109"/>
    <mergeCell ref="A29:J29"/>
    <mergeCell ref="A41:J41"/>
    <mergeCell ref="A51:J51"/>
    <mergeCell ref="A61:J61"/>
    <mergeCell ref="A62:C62"/>
    <mergeCell ref="A3:J3"/>
    <mergeCell ref="A5:J5"/>
    <mergeCell ref="A1:J1"/>
    <mergeCell ref="A2:J2"/>
    <mergeCell ref="A15:J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3E70-6B4B-4F45-A50D-ECB59DE2E1D6}">
  <dimension ref="A1:N194"/>
  <sheetViews>
    <sheetView workbookViewId="0">
      <pane ySplit="4" topLeftCell="A41" activePane="bottomLeft" state="frozen"/>
      <selection activeCell="B1" sqref="B1"/>
      <selection pane="bottomLeft" activeCell="C65" sqref="C65"/>
    </sheetView>
  </sheetViews>
  <sheetFormatPr defaultRowHeight="14.5" x14ac:dyDescent="0.35"/>
  <cols>
    <col min="1" max="1" width="32.7265625" customWidth="1"/>
    <col min="2" max="2" width="36.36328125" customWidth="1"/>
    <col min="3" max="8" width="18.1796875" customWidth="1"/>
    <col min="9" max="9" width="21.81640625" customWidth="1"/>
    <col min="10" max="10" width="18.1796875" customWidth="1"/>
  </cols>
  <sheetData>
    <row r="1" spans="1:14" ht="35" customHeight="1" x14ac:dyDescent="0.7">
      <c r="A1" s="233" t="s">
        <v>1719</v>
      </c>
      <c r="B1" s="247"/>
      <c r="C1" s="247"/>
      <c r="D1" s="247"/>
      <c r="E1" s="247"/>
      <c r="F1" s="247"/>
      <c r="G1" s="247"/>
      <c r="H1" s="247"/>
      <c r="I1" s="247"/>
      <c r="J1" s="247"/>
      <c r="K1" s="221" t="s">
        <v>1619</v>
      </c>
    </row>
    <row r="2" spans="1:14" x14ac:dyDescent="0.35">
      <c r="A2" s="235" t="s">
        <v>1720</v>
      </c>
      <c r="B2" s="282"/>
      <c r="C2" s="282"/>
      <c r="D2" s="282"/>
      <c r="E2" s="282"/>
      <c r="F2" s="282"/>
      <c r="G2" s="282"/>
      <c r="H2" s="282"/>
      <c r="I2" s="282"/>
      <c r="J2" s="282"/>
    </row>
    <row r="3" spans="1:14" x14ac:dyDescent="0.35">
      <c r="A3" s="245" t="s">
        <v>1721</v>
      </c>
      <c r="B3" s="283"/>
      <c r="C3" s="283"/>
      <c r="D3" s="283"/>
      <c r="E3" s="283"/>
      <c r="F3" s="283"/>
      <c r="G3" s="283"/>
      <c r="H3" s="283"/>
      <c r="I3" s="283"/>
      <c r="J3" s="283"/>
    </row>
    <row r="5" spans="1:14" ht="16" x14ac:dyDescent="0.4">
      <c r="A5" s="253" t="s">
        <v>252</v>
      </c>
      <c r="B5" s="241"/>
      <c r="C5" s="241"/>
      <c r="D5" s="241"/>
      <c r="E5" s="241"/>
      <c r="F5" s="241"/>
      <c r="G5" s="241"/>
      <c r="H5" s="241"/>
      <c r="I5" s="241"/>
      <c r="J5" s="241"/>
      <c r="L5" s="263" t="s">
        <v>695</v>
      </c>
      <c r="M5" s="288"/>
      <c r="N5" s="289"/>
    </row>
    <row r="6" spans="1:14" x14ac:dyDescent="0.35">
      <c r="A6" s="155" t="s">
        <v>219</v>
      </c>
      <c r="B6" s="155" t="s">
        <v>253</v>
      </c>
      <c r="C6" s="139"/>
      <c r="D6" s="157" t="s">
        <v>254</v>
      </c>
      <c r="E6" s="157" t="s">
        <v>255</v>
      </c>
      <c r="F6" s="139"/>
      <c r="G6" s="157" t="s">
        <v>256</v>
      </c>
      <c r="H6" s="157" t="s">
        <v>5</v>
      </c>
      <c r="I6" s="139"/>
      <c r="J6" s="139"/>
      <c r="L6" s="169" t="s">
        <v>696</v>
      </c>
      <c r="M6" s="170">
        <v>278</v>
      </c>
      <c r="N6" s="171" t="s">
        <v>586</v>
      </c>
    </row>
    <row r="7" spans="1:14" x14ac:dyDescent="0.35">
      <c r="A7" s="133" t="s">
        <v>191</v>
      </c>
      <c r="B7" s="54" t="s">
        <v>257</v>
      </c>
      <c r="D7" t="s">
        <v>258</v>
      </c>
      <c r="E7" t="s">
        <v>259</v>
      </c>
      <c r="G7" t="s">
        <v>260</v>
      </c>
      <c r="H7" t="s">
        <v>261</v>
      </c>
      <c r="L7" s="154" t="s">
        <v>697</v>
      </c>
      <c r="M7" s="154">
        <v>350</v>
      </c>
      <c r="N7" s="154" t="s">
        <v>586</v>
      </c>
    </row>
    <row r="8" spans="1:14" x14ac:dyDescent="0.35">
      <c r="A8" s="133" t="s">
        <v>193</v>
      </c>
      <c r="B8" s="54" t="s">
        <v>262</v>
      </c>
      <c r="D8" t="s">
        <v>263</v>
      </c>
      <c r="E8" t="s">
        <v>264</v>
      </c>
      <c r="G8" t="s">
        <v>265</v>
      </c>
      <c r="H8" t="s">
        <v>266</v>
      </c>
      <c r="L8" s="154" t="s">
        <v>698</v>
      </c>
      <c r="M8" s="154">
        <v>302</v>
      </c>
      <c r="N8" s="154" t="s">
        <v>586</v>
      </c>
    </row>
    <row r="9" spans="1:14" x14ac:dyDescent="0.35">
      <c r="A9" s="133" t="s">
        <v>267</v>
      </c>
      <c r="B9" s="54" t="s">
        <v>268</v>
      </c>
      <c r="D9" t="s">
        <v>269</v>
      </c>
      <c r="E9" t="s">
        <v>270</v>
      </c>
      <c r="G9" t="s">
        <v>271</v>
      </c>
      <c r="H9" t="s">
        <v>272</v>
      </c>
      <c r="L9" s="154"/>
      <c r="M9" s="154"/>
      <c r="N9" s="154"/>
    </row>
    <row r="10" spans="1:14" x14ac:dyDescent="0.35">
      <c r="A10" s="133" t="s">
        <v>221</v>
      </c>
      <c r="B10" s="54" t="s">
        <v>273</v>
      </c>
      <c r="D10" t="s">
        <v>274</v>
      </c>
      <c r="E10" t="s">
        <v>275</v>
      </c>
      <c r="G10" t="s">
        <v>276</v>
      </c>
      <c r="H10" t="s">
        <v>277</v>
      </c>
      <c r="L10" s="154" t="s">
        <v>699</v>
      </c>
      <c r="M10" s="154"/>
      <c r="N10" s="154"/>
    </row>
    <row r="11" spans="1:14" x14ac:dyDescent="0.35">
      <c r="A11" s="133" t="s">
        <v>195</v>
      </c>
      <c r="B11" s="54" t="s">
        <v>278</v>
      </c>
      <c r="D11" t="s">
        <v>279</v>
      </c>
      <c r="E11" t="s">
        <v>280</v>
      </c>
      <c r="G11" t="s">
        <v>281</v>
      </c>
      <c r="H11" t="s">
        <v>282</v>
      </c>
      <c r="L11" s="154" t="s">
        <v>700</v>
      </c>
      <c r="M11" s="154"/>
      <c r="N11" s="154"/>
    </row>
    <row r="12" spans="1:14" x14ac:dyDescent="0.35">
      <c r="L12" s="154" t="s">
        <v>702</v>
      </c>
      <c r="M12" s="154"/>
      <c r="N12" s="154"/>
    </row>
    <row r="13" spans="1:14" ht="16" x14ac:dyDescent="0.4">
      <c r="A13" s="253" t="s">
        <v>283</v>
      </c>
      <c r="B13" s="241"/>
      <c r="C13" s="241"/>
      <c r="D13" s="241"/>
      <c r="E13" s="241"/>
      <c r="F13" s="241"/>
      <c r="G13" s="241"/>
      <c r="H13" s="241"/>
      <c r="I13" s="241"/>
      <c r="J13" s="241"/>
    </row>
    <row r="14" spans="1:14" x14ac:dyDescent="0.35">
      <c r="A14" s="155" t="s">
        <v>222</v>
      </c>
      <c r="B14" s="155" t="s">
        <v>223</v>
      </c>
      <c r="C14" s="155" t="s">
        <v>224</v>
      </c>
      <c r="D14" s="155" t="s">
        <v>225</v>
      </c>
      <c r="E14" s="155" t="s">
        <v>284</v>
      </c>
      <c r="F14" s="155" t="s">
        <v>226</v>
      </c>
      <c r="G14" s="155" t="s">
        <v>3</v>
      </c>
      <c r="H14" s="139"/>
      <c r="I14" s="139"/>
      <c r="J14" s="139"/>
    </row>
    <row r="15" spans="1:14" x14ac:dyDescent="0.35">
      <c r="A15" s="54" t="s">
        <v>285</v>
      </c>
      <c r="B15" s="54" t="s">
        <v>286</v>
      </c>
      <c r="C15" s="54" t="s">
        <v>287</v>
      </c>
      <c r="D15" s="54" t="s">
        <v>288</v>
      </c>
      <c r="E15" s="54" t="s">
        <v>227</v>
      </c>
      <c r="F15" s="54">
        <v>180000</v>
      </c>
      <c r="G15" s="54" t="s">
        <v>25</v>
      </c>
    </row>
    <row r="16" spans="1:14" x14ac:dyDescent="0.35">
      <c r="A16" s="54" t="s">
        <v>289</v>
      </c>
      <c r="B16" s="54" t="s">
        <v>290</v>
      </c>
      <c r="C16" s="54" t="s">
        <v>291</v>
      </c>
      <c r="D16" s="54" t="s">
        <v>292</v>
      </c>
      <c r="E16" s="54" t="s">
        <v>227</v>
      </c>
      <c r="F16" s="54">
        <v>150000</v>
      </c>
      <c r="G16" s="54" t="s">
        <v>25</v>
      </c>
    </row>
    <row r="17" spans="1:10" x14ac:dyDescent="0.35">
      <c r="A17" s="54" t="s">
        <v>293</v>
      </c>
      <c r="B17" s="54" t="s">
        <v>294</v>
      </c>
      <c r="C17" s="54" t="s">
        <v>295</v>
      </c>
      <c r="D17" s="54" t="s">
        <v>296</v>
      </c>
      <c r="E17" s="54">
        <v>3000</v>
      </c>
      <c r="F17" s="54">
        <v>120000</v>
      </c>
      <c r="G17" s="54" t="s">
        <v>25</v>
      </c>
    </row>
    <row r="18" spans="1:10" x14ac:dyDescent="0.35">
      <c r="A18" s="54" t="s">
        <v>297</v>
      </c>
      <c r="B18" s="54" t="s">
        <v>298</v>
      </c>
      <c r="C18" s="54" t="s">
        <v>299</v>
      </c>
      <c r="D18" s="54" t="s">
        <v>300</v>
      </c>
      <c r="E18" s="54" t="s">
        <v>227</v>
      </c>
      <c r="F18" s="54">
        <v>140000</v>
      </c>
      <c r="G18" s="54" t="s">
        <v>25</v>
      </c>
    </row>
    <row r="19" spans="1:10" x14ac:dyDescent="0.35">
      <c r="A19" s="54" t="s">
        <v>301</v>
      </c>
      <c r="B19" s="54" t="s">
        <v>302</v>
      </c>
      <c r="C19" s="54" t="s">
        <v>303</v>
      </c>
      <c r="D19" s="54" t="s">
        <v>304</v>
      </c>
      <c r="E19" s="54">
        <v>2500</v>
      </c>
      <c r="F19" s="54">
        <v>100000</v>
      </c>
      <c r="G19" s="54" t="s">
        <v>26</v>
      </c>
    </row>
    <row r="20" spans="1:10" x14ac:dyDescent="0.35">
      <c r="A20" s="54" t="s">
        <v>305</v>
      </c>
      <c r="B20" s="54" t="s">
        <v>306</v>
      </c>
      <c r="C20" s="54" t="s">
        <v>307</v>
      </c>
      <c r="D20" s="54" t="s">
        <v>308</v>
      </c>
      <c r="E20" s="54" t="s">
        <v>227</v>
      </c>
      <c r="F20" s="54">
        <v>130000</v>
      </c>
      <c r="G20" s="54" t="s">
        <v>25</v>
      </c>
    </row>
    <row r="21" spans="1:10" x14ac:dyDescent="0.35">
      <c r="A21" s="54" t="s">
        <v>309</v>
      </c>
      <c r="B21" s="54" t="s">
        <v>310</v>
      </c>
      <c r="C21" s="54" t="s">
        <v>299</v>
      </c>
      <c r="D21" s="54" t="s">
        <v>311</v>
      </c>
      <c r="E21" s="54">
        <v>2000</v>
      </c>
      <c r="F21" s="54">
        <v>90000</v>
      </c>
      <c r="G21" s="54" t="s">
        <v>26</v>
      </c>
    </row>
    <row r="22" spans="1:10" x14ac:dyDescent="0.35">
      <c r="A22" s="54" t="s">
        <v>81</v>
      </c>
      <c r="B22" s="54" t="s">
        <v>312</v>
      </c>
      <c r="C22" s="54" t="s">
        <v>313</v>
      </c>
      <c r="D22" s="54" t="s">
        <v>314</v>
      </c>
      <c r="E22" s="54">
        <v>3500</v>
      </c>
      <c r="F22" s="54">
        <v>110000</v>
      </c>
      <c r="G22" s="54" t="s">
        <v>26</v>
      </c>
    </row>
    <row r="23" spans="1:10" x14ac:dyDescent="0.35">
      <c r="A23" s="54" t="s">
        <v>315</v>
      </c>
      <c r="B23" s="54" t="s">
        <v>316</v>
      </c>
      <c r="C23" s="54" t="s">
        <v>250</v>
      </c>
      <c r="D23" s="54" t="s">
        <v>317</v>
      </c>
      <c r="E23" s="54">
        <v>4000</v>
      </c>
      <c r="F23" s="54">
        <v>80000</v>
      </c>
      <c r="G23" s="54" t="s">
        <v>33</v>
      </c>
    </row>
    <row r="24" spans="1:10" x14ac:dyDescent="0.35">
      <c r="A24" s="54"/>
      <c r="B24" s="54"/>
      <c r="C24" s="54"/>
      <c r="D24" s="54"/>
      <c r="E24" s="54"/>
      <c r="F24" s="54"/>
      <c r="G24" s="54"/>
    </row>
    <row r="25" spans="1:10" ht="16" x14ac:dyDescent="0.4">
      <c r="A25" s="253" t="s">
        <v>680</v>
      </c>
      <c r="B25" s="253"/>
      <c r="C25" s="253"/>
      <c r="D25" s="253"/>
      <c r="E25" s="253"/>
      <c r="F25" s="253"/>
      <c r="G25" s="253"/>
      <c r="H25" s="253"/>
      <c r="I25" s="253"/>
      <c r="J25" s="253"/>
    </row>
    <row r="26" spans="1:10" x14ac:dyDescent="0.35">
      <c r="A26" s="155" t="s">
        <v>88</v>
      </c>
      <c r="B26" s="155" t="s">
        <v>318</v>
      </c>
      <c r="C26" s="155" t="s">
        <v>89</v>
      </c>
      <c r="D26" s="155" t="s">
        <v>714</v>
      </c>
      <c r="E26" s="155" t="s">
        <v>717</v>
      </c>
      <c r="F26" s="155" t="s">
        <v>718</v>
      </c>
      <c r="G26" s="155" t="s">
        <v>722</v>
      </c>
      <c r="H26" s="155" t="s">
        <v>723</v>
      </c>
      <c r="I26" s="155" t="s">
        <v>9</v>
      </c>
      <c r="J26" s="155" t="s">
        <v>724</v>
      </c>
    </row>
    <row r="27" spans="1:10" x14ac:dyDescent="0.35">
      <c r="A27" s="54" t="s">
        <v>84</v>
      </c>
      <c r="B27" s="54">
        <v>1</v>
      </c>
      <c r="C27" s="26">
        <v>11</v>
      </c>
      <c r="D27" s="5">
        <v>3058</v>
      </c>
      <c r="E27" s="26">
        <v>132</v>
      </c>
      <c r="F27" s="5">
        <v>36696</v>
      </c>
      <c r="G27" s="26">
        <v>18</v>
      </c>
      <c r="H27" s="5">
        <v>5004</v>
      </c>
      <c r="I27" s="54" t="s">
        <v>320</v>
      </c>
      <c r="J27" s="26">
        <v>11</v>
      </c>
    </row>
    <row r="28" spans="1:10" x14ac:dyDescent="0.35">
      <c r="A28" s="54" t="s">
        <v>85</v>
      </c>
      <c r="B28" s="54">
        <v>3</v>
      </c>
      <c r="C28" s="26">
        <v>25</v>
      </c>
      <c r="D28" s="5">
        <v>6950</v>
      </c>
      <c r="E28" s="26">
        <v>300</v>
      </c>
      <c r="F28" s="5">
        <v>83400</v>
      </c>
      <c r="G28" s="26">
        <v>36</v>
      </c>
      <c r="H28" s="5">
        <v>10008</v>
      </c>
      <c r="I28" s="54" t="s">
        <v>321</v>
      </c>
      <c r="J28" s="26">
        <v>8.3333333333333304</v>
      </c>
    </row>
    <row r="29" spans="1:10" x14ac:dyDescent="0.35">
      <c r="A29" s="54" t="s">
        <v>86</v>
      </c>
      <c r="B29" s="54">
        <v>5</v>
      </c>
      <c r="C29" s="26">
        <v>43</v>
      </c>
      <c r="D29" s="5">
        <v>11954</v>
      </c>
      <c r="E29" s="26">
        <v>516</v>
      </c>
      <c r="F29" s="5">
        <v>143448</v>
      </c>
      <c r="G29" s="26">
        <v>72</v>
      </c>
      <c r="H29" s="5">
        <v>20016</v>
      </c>
      <c r="I29" s="54" t="s">
        <v>322</v>
      </c>
      <c r="J29" s="26">
        <v>8.6</v>
      </c>
    </row>
    <row r="30" spans="1:10" x14ac:dyDescent="0.35">
      <c r="A30" s="54" t="s">
        <v>87</v>
      </c>
      <c r="B30" s="54">
        <v>10</v>
      </c>
      <c r="C30" s="26">
        <v>90</v>
      </c>
      <c r="D30" s="5">
        <v>25020</v>
      </c>
      <c r="E30" s="26">
        <v>1080</v>
      </c>
      <c r="F30" s="5">
        <v>300240</v>
      </c>
      <c r="G30" s="26">
        <v>126</v>
      </c>
      <c r="H30" s="5">
        <v>35028</v>
      </c>
      <c r="I30" s="54" t="s">
        <v>323</v>
      </c>
      <c r="J30" s="26">
        <v>9</v>
      </c>
    </row>
    <row r="31" spans="1:10" x14ac:dyDescent="0.35">
      <c r="A31" s="54" t="s">
        <v>324</v>
      </c>
      <c r="B31" s="54">
        <v>25</v>
      </c>
      <c r="C31" s="26">
        <v>180</v>
      </c>
      <c r="D31" s="5">
        <v>50040</v>
      </c>
      <c r="E31" s="26">
        <v>2160</v>
      </c>
      <c r="F31" s="5">
        <v>600480</v>
      </c>
      <c r="G31" s="26">
        <v>180</v>
      </c>
      <c r="H31" s="5">
        <v>50040</v>
      </c>
      <c r="I31" s="54" t="s">
        <v>325</v>
      </c>
      <c r="J31" s="26">
        <v>7.2</v>
      </c>
    </row>
    <row r="33" spans="1:10" ht="16" x14ac:dyDescent="0.4">
      <c r="A33" s="253" t="s">
        <v>681</v>
      </c>
      <c r="B33" s="253"/>
      <c r="C33" s="253"/>
      <c r="D33" s="253"/>
      <c r="E33" s="253"/>
      <c r="F33" s="253"/>
      <c r="G33" s="253"/>
      <c r="H33" s="253"/>
      <c r="I33" s="253"/>
      <c r="J33" s="253"/>
    </row>
    <row r="34" spans="1:10" x14ac:dyDescent="0.35">
      <c r="A34" s="155" t="s">
        <v>326</v>
      </c>
      <c r="B34" s="155" t="s">
        <v>73</v>
      </c>
      <c r="C34" s="155" t="s">
        <v>725</v>
      </c>
      <c r="D34" s="155" t="s">
        <v>726</v>
      </c>
      <c r="E34" s="155" t="s">
        <v>727</v>
      </c>
      <c r="F34" s="155" t="s">
        <v>728</v>
      </c>
      <c r="G34" s="155" t="s">
        <v>327</v>
      </c>
      <c r="H34" s="155" t="s">
        <v>729</v>
      </c>
      <c r="I34" s="155" t="s">
        <v>730</v>
      </c>
      <c r="J34" s="155" t="s">
        <v>328</v>
      </c>
    </row>
    <row r="35" spans="1:10" x14ac:dyDescent="0.35">
      <c r="A35" s="54" t="s">
        <v>329</v>
      </c>
      <c r="B35" s="54" t="s">
        <v>330</v>
      </c>
      <c r="C35" s="26">
        <v>0.18</v>
      </c>
      <c r="D35" s="5">
        <v>50.04</v>
      </c>
      <c r="E35" s="26">
        <v>300</v>
      </c>
      <c r="F35" s="5">
        <v>83400</v>
      </c>
      <c r="G35" s="8">
        <v>500</v>
      </c>
      <c r="H35" s="26">
        <v>90</v>
      </c>
      <c r="I35" s="5">
        <v>25020</v>
      </c>
      <c r="J35" s="54" t="s">
        <v>25</v>
      </c>
    </row>
    <row r="36" spans="1:10" x14ac:dyDescent="0.35">
      <c r="A36" s="54" t="s">
        <v>331</v>
      </c>
      <c r="B36" s="54" t="s">
        <v>330</v>
      </c>
      <c r="C36" s="26">
        <v>0.18</v>
      </c>
      <c r="D36" s="5">
        <v>50.04</v>
      </c>
      <c r="E36" s="26">
        <v>500</v>
      </c>
      <c r="F36" s="5">
        <v>139000</v>
      </c>
      <c r="G36" s="8">
        <v>400</v>
      </c>
      <c r="H36" s="26">
        <v>72</v>
      </c>
      <c r="I36" s="5">
        <v>20016</v>
      </c>
      <c r="J36" s="54" t="s">
        <v>25</v>
      </c>
    </row>
    <row r="37" spans="1:10" x14ac:dyDescent="0.35">
      <c r="A37" s="54" t="s">
        <v>332</v>
      </c>
      <c r="B37" s="54" t="s">
        <v>333</v>
      </c>
      <c r="C37" s="26">
        <v>0.11</v>
      </c>
      <c r="D37" s="5">
        <v>30.58</v>
      </c>
      <c r="E37" s="26">
        <v>250</v>
      </c>
      <c r="F37" s="5">
        <v>69500</v>
      </c>
      <c r="G37" s="8">
        <v>800</v>
      </c>
      <c r="H37" s="26">
        <v>88</v>
      </c>
      <c r="I37" s="5">
        <v>24464</v>
      </c>
      <c r="J37" s="54" t="s">
        <v>25</v>
      </c>
    </row>
    <row r="38" spans="1:10" x14ac:dyDescent="0.35">
      <c r="A38" s="54" t="s">
        <v>334</v>
      </c>
      <c r="B38" s="54" t="s">
        <v>335</v>
      </c>
      <c r="C38" s="26">
        <v>0.09</v>
      </c>
      <c r="D38" s="5">
        <v>25.02</v>
      </c>
      <c r="E38" s="26">
        <v>150</v>
      </c>
      <c r="F38" s="5">
        <v>41700</v>
      </c>
      <c r="G38" s="8">
        <v>600</v>
      </c>
      <c r="H38" s="26">
        <v>54</v>
      </c>
      <c r="I38" s="5">
        <v>15012</v>
      </c>
      <c r="J38" s="54" t="s">
        <v>26</v>
      </c>
    </row>
    <row r="39" spans="1:10" x14ac:dyDescent="0.35">
      <c r="A39" s="54" t="s">
        <v>336</v>
      </c>
      <c r="B39" s="54" t="s">
        <v>337</v>
      </c>
      <c r="C39" s="26">
        <v>7.0000000000000007E-2</v>
      </c>
      <c r="D39" s="5">
        <v>19.46</v>
      </c>
      <c r="E39" s="26">
        <v>100</v>
      </c>
      <c r="F39" s="5">
        <v>27800</v>
      </c>
      <c r="G39" s="8">
        <v>1500</v>
      </c>
      <c r="H39" s="26">
        <v>105</v>
      </c>
      <c r="I39" s="5">
        <v>29190</v>
      </c>
      <c r="J39" s="54" t="s">
        <v>25</v>
      </c>
    </row>
    <row r="40" spans="1:10" x14ac:dyDescent="0.35">
      <c r="A40" s="54" t="s">
        <v>682</v>
      </c>
      <c r="B40" s="54" t="s">
        <v>338</v>
      </c>
      <c r="C40" s="26">
        <v>0.05</v>
      </c>
      <c r="D40" s="5">
        <v>13.9</v>
      </c>
      <c r="E40" s="26">
        <v>0</v>
      </c>
      <c r="F40" s="5">
        <v>0</v>
      </c>
      <c r="G40" s="8">
        <v>2000</v>
      </c>
      <c r="H40" s="26">
        <v>100</v>
      </c>
      <c r="I40" s="5">
        <v>27800</v>
      </c>
      <c r="J40" s="54" t="s">
        <v>25</v>
      </c>
    </row>
    <row r="41" spans="1:10" x14ac:dyDescent="0.35">
      <c r="A41" s="54" t="s">
        <v>340</v>
      </c>
      <c r="B41" s="54" t="s">
        <v>250</v>
      </c>
      <c r="C41" s="26">
        <v>0.01</v>
      </c>
      <c r="D41" s="5">
        <v>2.78</v>
      </c>
      <c r="E41" s="26">
        <v>0</v>
      </c>
      <c r="F41" s="5">
        <v>0</v>
      </c>
      <c r="G41" s="8">
        <v>5000</v>
      </c>
      <c r="H41" s="26">
        <v>50</v>
      </c>
      <c r="I41" s="5">
        <v>13900</v>
      </c>
      <c r="J41" s="54" t="s">
        <v>26</v>
      </c>
    </row>
    <row r="42" spans="1:10" x14ac:dyDescent="0.35">
      <c r="A42" s="54" t="s">
        <v>341</v>
      </c>
      <c r="B42" s="54" t="s">
        <v>342</v>
      </c>
      <c r="C42" s="26">
        <v>0.04</v>
      </c>
      <c r="D42" s="5">
        <v>11.12</v>
      </c>
      <c r="E42" s="26">
        <v>50</v>
      </c>
      <c r="F42" s="5">
        <v>13900</v>
      </c>
      <c r="G42" s="8">
        <v>300</v>
      </c>
      <c r="H42" s="26">
        <v>12</v>
      </c>
      <c r="I42" s="5">
        <v>3336</v>
      </c>
      <c r="J42" s="54" t="s">
        <v>33</v>
      </c>
    </row>
    <row r="43" spans="1:10" x14ac:dyDescent="0.35">
      <c r="A43" s="158" t="s">
        <v>683</v>
      </c>
      <c r="B43" s="158"/>
      <c r="C43" s="158"/>
      <c r="D43" s="158"/>
      <c r="E43" s="158"/>
      <c r="F43" s="158"/>
      <c r="G43" s="167">
        <v>11100</v>
      </c>
      <c r="H43" s="159">
        <v>571</v>
      </c>
      <c r="I43" s="168">
        <v>0</v>
      </c>
      <c r="J43" s="158"/>
    </row>
    <row r="45" spans="1:10" ht="16" x14ac:dyDescent="0.4">
      <c r="A45" s="253" t="s">
        <v>684</v>
      </c>
      <c r="B45" s="253"/>
      <c r="C45" s="253"/>
      <c r="D45" s="253"/>
      <c r="E45" s="253"/>
      <c r="F45" s="253"/>
      <c r="G45" s="253"/>
      <c r="H45" s="253"/>
      <c r="I45" s="253"/>
      <c r="J45" s="253"/>
    </row>
    <row r="46" spans="1:10" x14ac:dyDescent="0.35">
      <c r="A46" s="155" t="s">
        <v>215</v>
      </c>
      <c r="B46" s="155" t="s">
        <v>216</v>
      </c>
      <c r="C46" s="155" t="s">
        <v>731</v>
      </c>
      <c r="D46" s="155" t="s">
        <v>89</v>
      </c>
      <c r="E46" s="155" t="s">
        <v>714</v>
      </c>
      <c r="F46" s="155" t="s">
        <v>343</v>
      </c>
      <c r="G46" s="155" t="s">
        <v>344</v>
      </c>
      <c r="H46" s="155" t="s">
        <v>732</v>
      </c>
      <c r="I46" s="155" t="s">
        <v>733</v>
      </c>
      <c r="J46" s="155" t="s">
        <v>734</v>
      </c>
    </row>
    <row r="47" spans="1:10" x14ac:dyDescent="0.35">
      <c r="A47" s="54" t="s">
        <v>345</v>
      </c>
      <c r="B47" s="55">
        <v>10</v>
      </c>
      <c r="C47" s="26">
        <v>11</v>
      </c>
      <c r="D47" s="26">
        <v>110</v>
      </c>
      <c r="E47" s="5">
        <f>D47*$M$6</f>
        <v>30580</v>
      </c>
      <c r="F47" s="54" t="s">
        <v>346</v>
      </c>
      <c r="G47" s="55">
        <v>500</v>
      </c>
      <c r="H47" s="26">
        <v>0.18</v>
      </c>
      <c r="I47" s="26">
        <v>90</v>
      </c>
      <c r="J47" s="5">
        <f t="shared" ref="J47:J53" si="0">I47*$M$6</f>
        <v>25020</v>
      </c>
    </row>
    <row r="48" spans="1:10" x14ac:dyDescent="0.35">
      <c r="A48" s="54" t="s">
        <v>347</v>
      </c>
      <c r="B48" s="55">
        <v>5</v>
      </c>
      <c r="C48" s="26">
        <v>25</v>
      </c>
      <c r="D48" s="26">
        <v>125</v>
      </c>
      <c r="E48" s="5">
        <f>D48*$M$6</f>
        <v>34750</v>
      </c>
      <c r="F48" s="54" t="s">
        <v>348</v>
      </c>
      <c r="G48" s="55">
        <v>400</v>
      </c>
      <c r="H48" s="26">
        <v>0.18</v>
      </c>
      <c r="I48" s="26">
        <v>72</v>
      </c>
      <c r="J48" s="5">
        <f t="shared" si="0"/>
        <v>20016</v>
      </c>
    </row>
    <row r="49" spans="1:10" x14ac:dyDescent="0.35">
      <c r="A49" s="54" t="s">
        <v>349</v>
      </c>
      <c r="B49" s="55">
        <v>3</v>
      </c>
      <c r="C49" s="26">
        <v>43</v>
      </c>
      <c r="D49" s="26">
        <v>129</v>
      </c>
      <c r="E49" s="5">
        <f>D49*$M$6</f>
        <v>35862</v>
      </c>
      <c r="F49" s="54" t="s">
        <v>350</v>
      </c>
      <c r="G49" s="55">
        <v>800</v>
      </c>
      <c r="H49" s="26">
        <v>0.11</v>
      </c>
      <c r="I49" s="26">
        <v>88</v>
      </c>
      <c r="J49" s="5">
        <f t="shared" si="0"/>
        <v>24464</v>
      </c>
    </row>
    <row r="50" spans="1:10" x14ac:dyDescent="0.35">
      <c r="A50" s="54" t="s">
        <v>351</v>
      </c>
      <c r="B50" s="55">
        <v>1</v>
      </c>
      <c r="C50" s="26">
        <v>90</v>
      </c>
      <c r="D50" s="26">
        <v>90</v>
      </c>
      <c r="E50" s="5">
        <f>D50*$M$6</f>
        <v>25020</v>
      </c>
      <c r="F50" s="54" t="s">
        <v>352</v>
      </c>
      <c r="G50" s="55">
        <v>1500</v>
      </c>
      <c r="H50" s="26">
        <v>7.0000000000000007E-2</v>
      </c>
      <c r="I50" s="26">
        <v>105</v>
      </c>
      <c r="J50" s="5">
        <f t="shared" si="0"/>
        <v>29190</v>
      </c>
    </row>
    <row r="51" spans="1:10" x14ac:dyDescent="0.35">
      <c r="A51" s="54" t="s">
        <v>353</v>
      </c>
      <c r="B51" s="55">
        <v>0</v>
      </c>
      <c r="C51" s="26">
        <v>180</v>
      </c>
      <c r="D51" s="26">
        <v>0</v>
      </c>
      <c r="E51" s="5">
        <f>D51*$M$6</f>
        <v>0</v>
      </c>
      <c r="F51" s="54" t="s">
        <v>354</v>
      </c>
      <c r="G51" s="55">
        <v>2000</v>
      </c>
      <c r="H51" s="26">
        <v>0.05</v>
      </c>
      <c r="I51" s="26">
        <v>100</v>
      </c>
      <c r="J51" s="5">
        <f t="shared" si="0"/>
        <v>27800</v>
      </c>
    </row>
    <row r="52" spans="1:10" x14ac:dyDescent="0.35">
      <c r="A52" s="54"/>
      <c r="B52" s="54"/>
      <c r="C52" s="54"/>
      <c r="D52" s="26"/>
      <c r="E52" s="5"/>
      <c r="F52" s="54" t="s">
        <v>355</v>
      </c>
      <c r="G52" s="55">
        <v>5000</v>
      </c>
      <c r="H52" s="26">
        <v>0.01</v>
      </c>
      <c r="I52" s="26">
        <v>50</v>
      </c>
      <c r="J52" s="5">
        <f t="shared" si="0"/>
        <v>13900</v>
      </c>
    </row>
    <row r="53" spans="1:10" x14ac:dyDescent="0.35">
      <c r="A53" s="158" t="s">
        <v>218</v>
      </c>
      <c r="B53" s="158">
        <v>19</v>
      </c>
      <c r="C53" s="158"/>
      <c r="D53" s="159">
        <v>454</v>
      </c>
      <c r="E53" s="168">
        <f>D53*$M$6</f>
        <v>126212</v>
      </c>
      <c r="F53" s="158" t="s">
        <v>356</v>
      </c>
      <c r="G53" s="158">
        <v>10200</v>
      </c>
      <c r="H53" s="158"/>
      <c r="I53" s="159">
        <v>505</v>
      </c>
      <c r="J53" s="168">
        <f t="shared" si="0"/>
        <v>140390</v>
      </c>
    </row>
    <row r="55" spans="1:10" ht="16" x14ac:dyDescent="0.4">
      <c r="A55" s="253" t="s">
        <v>685</v>
      </c>
      <c r="B55" s="253"/>
      <c r="C55" s="253"/>
      <c r="D55" s="253"/>
      <c r="E55" s="253"/>
      <c r="F55" s="253"/>
      <c r="G55" s="253"/>
      <c r="H55" s="253"/>
      <c r="I55" s="253"/>
      <c r="J55" s="253"/>
    </row>
    <row r="56" spans="1:10" x14ac:dyDescent="0.35">
      <c r="A56" s="155" t="s">
        <v>357</v>
      </c>
      <c r="B56" s="155" t="s">
        <v>89</v>
      </c>
      <c r="C56" s="155" t="s">
        <v>714</v>
      </c>
      <c r="D56" s="155" t="s">
        <v>717</v>
      </c>
      <c r="E56" s="155" t="s">
        <v>718</v>
      </c>
      <c r="F56" s="139"/>
      <c r="G56" s="139"/>
      <c r="H56" s="139"/>
      <c r="I56" s="139"/>
      <c r="J56" s="139"/>
    </row>
    <row r="57" spans="1:10" x14ac:dyDescent="0.35">
      <c r="A57" s="54" t="s">
        <v>358</v>
      </c>
      <c r="B57" s="26">
        <f>D53</f>
        <v>454</v>
      </c>
      <c r="C57" s="5">
        <f>B57*$M$6</f>
        <v>126212</v>
      </c>
      <c r="D57" s="26">
        <f>B57*12</f>
        <v>5448</v>
      </c>
      <c r="E57" s="5">
        <f>D57*$M$6</f>
        <v>1514544</v>
      </c>
    </row>
    <row r="58" spans="1:10" x14ac:dyDescent="0.35">
      <c r="A58" s="54" t="s">
        <v>359</v>
      </c>
      <c r="B58" s="26">
        <f>I53</f>
        <v>505</v>
      </c>
      <c r="C58" s="5">
        <f>B58*$M$6</f>
        <v>140390</v>
      </c>
      <c r="D58" s="26">
        <f>B58*12</f>
        <v>6060</v>
      </c>
      <c r="E58" s="5">
        <f>D58*$M$6</f>
        <v>1684680</v>
      </c>
    </row>
    <row r="59" spans="1:10" x14ac:dyDescent="0.35">
      <c r="A59" s="54"/>
      <c r="B59" s="26"/>
      <c r="C59" s="5"/>
      <c r="D59" s="26"/>
      <c r="E59" s="5"/>
    </row>
    <row r="60" spans="1:10" ht="18.5" x14ac:dyDescent="0.45">
      <c r="A60" s="158" t="s">
        <v>588</v>
      </c>
      <c r="B60" s="162">
        <f>B57+B58</f>
        <v>959</v>
      </c>
      <c r="C60" s="168">
        <f>B60*$M$6</f>
        <v>266602</v>
      </c>
      <c r="D60" s="159"/>
      <c r="E60" s="168"/>
    </row>
    <row r="61" spans="1:10" ht="16" x14ac:dyDescent="0.4">
      <c r="A61" s="174" t="s">
        <v>589</v>
      </c>
      <c r="B61" s="175"/>
      <c r="C61" s="176"/>
      <c r="D61" s="175">
        <f>B60*12</f>
        <v>11508</v>
      </c>
      <c r="E61" s="176">
        <f>D61*$M$6</f>
        <v>3199224</v>
      </c>
    </row>
    <row r="62" spans="1:10" ht="16" x14ac:dyDescent="0.4">
      <c r="A62" s="253" t="s">
        <v>360</v>
      </c>
      <c r="B62" s="241"/>
      <c r="C62" s="241"/>
      <c r="D62" s="241"/>
      <c r="E62" s="241"/>
      <c r="F62" s="241"/>
      <c r="G62" s="241"/>
      <c r="H62" s="241"/>
      <c r="I62" s="241"/>
      <c r="J62" s="241"/>
    </row>
    <row r="63" spans="1:10" ht="16" x14ac:dyDescent="0.4">
      <c r="A63" s="253" t="s">
        <v>686</v>
      </c>
      <c r="B63" s="241"/>
      <c r="C63" s="241"/>
      <c r="D63" s="241"/>
      <c r="E63" s="241"/>
      <c r="F63" s="241"/>
      <c r="G63" s="241"/>
      <c r="H63" s="241"/>
      <c r="I63" s="241"/>
      <c r="J63" s="241"/>
    </row>
    <row r="64" spans="1:10" x14ac:dyDescent="0.35">
      <c r="A64" s="155" t="s">
        <v>361</v>
      </c>
      <c r="B64" s="155" t="s">
        <v>91</v>
      </c>
      <c r="C64" s="155" t="s">
        <v>89</v>
      </c>
      <c r="D64" s="173" t="s">
        <v>714</v>
      </c>
      <c r="E64" s="173" t="s">
        <v>735</v>
      </c>
      <c r="F64" s="155" t="s">
        <v>736</v>
      </c>
      <c r="G64" s="155" t="s">
        <v>737</v>
      </c>
      <c r="H64" s="155" t="s">
        <v>362</v>
      </c>
      <c r="I64" s="155" t="s">
        <v>363</v>
      </c>
      <c r="J64" s="50"/>
    </row>
    <row r="65" spans="1:10" x14ac:dyDescent="0.35">
      <c r="A65" s="54" t="s">
        <v>364</v>
      </c>
      <c r="B65" s="54" t="s">
        <v>365</v>
      </c>
      <c r="C65" s="26">
        <v>65</v>
      </c>
      <c r="D65" s="5">
        <f t="shared" ref="D65:D70" si="1">C65*$M$6</f>
        <v>18070</v>
      </c>
      <c r="E65" s="26">
        <v>25</v>
      </c>
      <c r="F65" s="5">
        <f t="shared" ref="F65:F70" si="2">E65*$M$6</f>
        <v>6950</v>
      </c>
      <c r="G65" s="26">
        <v>40</v>
      </c>
      <c r="H65" s="6">
        <f>G65/C65</f>
        <v>0.61538461538461542</v>
      </c>
      <c r="I65" s="54" t="s">
        <v>366</v>
      </c>
    </row>
    <row r="66" spans="1:10" x14ac:dyDescent="0.35">
      <c r="A66" s="54" t="s">
        <v>367</v>
      </c>
      <c r="B66" s="54" t="s">
        <v>368</v>
      </c>
      <c r="C66" s="26">
        <v>55</v>
      </c>
      <c r="D66" s="5">
        <f t="shared" si="1"/>
        <v>15290</v>
      </c>
      <c r="E66" s="26">
        <v>25</v>
      </c>
      <c r="F66" s="5">
        <f t="shared" si="2"/>
        <v>6950</v>
      </c>
      <c r="G66" s="26">
        <v>30</v>
      </c>
      <c r="H66" s="6">
        <f>G66/C66</f>
        <v>0.54545454545454541</v>
      </c>
      <c r="I66" s="54" t="s">
        <v>369</v>
      </c>
    </row>
    <row r="67" spans="1:10" x14ac:dyDescent="0.35">
      <c r="A67" s="54" t="s">
        <v>370</v>
      </c>
      <c r="B67" s="54" t="s">
        <v>371</v>
      </c>
      <c r="C67" s="26">
        <v>200</v>
      </c>
      <c r="D67" s="5">
        <f t="shared" si="1"/>
        <v>55600</v>
      </c>
      <c r="E67" s="26">
        <v>43</v>
      </c>
      <c r="F67" s="5">
        <f t="shared" si="2"/>
        <v>11954</v>
      </c>
      <c r="G67" s="26">
        <v>157</v>
      </c>
      <c r="H67" s="6">
        <f>G67/C67</f>
        <v>0.78500000000000003</v>
      </c>
      <c r="I67" s="54" t="s">
        <v>372</v>
      </c>
    </row>
    <row r="68" spans="1:10" x14ac:dyDescent="0.35">
      <c r="A68" s="54" t="s">
        <v>373</v>
      </c>
      <c r="B68" s="54" t="s">
        <v>374</v>
      </c>
      <c r="C68" s="26">
        <v>100</v>
      </c>
      <c r="D68" s="5">
        <f t="shared" si="1"/>
        <v>27800</v>
      </c>
      <c r="E68" s="26">
        <v>25</v>
      </c>
      <c r="F68" s="5">
        <f t="shared" si="2"/>
        <v>6950</v>
      </c>
      <c r="G68" s="26">
        <v>75</v>
      </c>
      <c r="H68" s="6">
        <f>G68/C68</f>
        <v>0.75</v>
      </c>
      <c r="I68" s="54" t="s">
        <v>375</v>
      </c>
    </row>
    <row r="69" spans="1:10" x14ac:dyDescent="0.35">
      <c r="A69" s="54" t="s">
        <v>376</v>
      </c>
      <c r="B69" s="54" t="s">
        <v>377</v>
      </c>
      <c r="C69" s="26">
        <v>50</v>
      </c>
      <c r="D69" s="5">
        <f t="shared" si="1"/>
        <v>13900</v>
      </c>
      <c r="E69" s="26">
        <v>11</v>
      </c>
      <c r="F69" s="5">
        <f t="shared" si="2"/>
        <v>3058</v>
      </c>
      <c r="G69" s="26">
        <v>39</v>
      </c>
      <c r="H69" s="6">
        <f>G69/C69</f>
        <v>0.78</v>
      </c>
      <c r="I69" s="54" t="s">
        <v>378</v>
      </c>
    </row>
    <row r="70" spans="1:10" x14ac:dyDescent="0.35">
      <c r="A70" s="54" t="s">
        <v>379</v>
      </c>
      <c r="B70" s="54" t="s">
        <v>380</v>
      </c>
      <c r="C70" s="26">
        <v>0</v>
      </c>
      <c r="D70" s="5">
        <f t="shared" si="1"/>
        <v>0</v>
      </c>
      <c r="E70" s="26">
        <v>11</v>
      </c>
      <c r="F70" s="5">
        <f t="shared" si="2"/>
        <v>3058</v>
      </c>
      <c r="G70" s="26" t="s">
        <v>339</v>
      </c>
      <c r="H70" s="54" t="s">
        <v>339</v>
      </c>
      <c r="I70" s="54" t="s">
        <v>381</v>
      </c>
    </row>
    <row r="71" spans="1:10" ht="16" x14ac:dyDescent="0.4">
      <c r="A71" s="287" t="s">
        <v>235</v>
      </c>
      <c r="B71" s="244"/>
      <c r="C71" s="244"/>
      <c r="D71" s="244"/>
      <c r="E71" s="244"/>
      <c r="F71" s="244"/>
      <c r="G71" s="244"/>
      <c r="H71" s="244"/>
      <c r="I71" s="244"/>
      <c r="J71" s="244"/>
    </row>
    <row r="72" spans="1:10" ht="16" x14ac:dyDescent="0.4">
      <c r="A72" s="274" t="s">
        <v>687</v>
      </c>
      <c r="B72" s="285"/>
      <c r="C72" s="285"/>
      <c r="D72" s="285"/>
      <c r="E72" s="285"/>
      <c r="F72" s="285"/>
      <c r="G72" s="285"/>
      <c r="H72" s="285"/>
      <c r="I72" s="285"/>
      <c r="J72" s="285"/>
    </row>
    <row r="73" spans="1:10" x14ac:dyDescent="0.35">
      <c r="A73" s="129" t="s">
        <v>22</v>
      </c>
      <c r="B73" s="129" t="s">
        <v>236</v>
      </c>
      <c r="C73" s="129" t="s">
        <v>738</v>
      </c>
      <c r="D73" s="17" t="s">
        <v>739</v>
      </c>
      <c r="E73" s="17" t="s">
        <v>740</v>
      </c>
      <c r="F73" s="17" t="s">
        <v>741</v>
      </c>
      <c r="G73" s="17" t="s">
        <v>742</v>
      </c>
      <c r="H73" s="17" t="s">
        <v>743</v>
      </c>
      <c r="I73" s="17" t="s">
        <v>717</v>
      </c>
      <c r="J73" s="129" t="s">
        <v>718</v>
      </c>
    </row>
    <row r="74" spans="1:10" x14ac:dyDescent="0.35">
      <c r="A74" s="54" t="s">
        <v>382</v>
      </c>
      <c r="B74" s="128">
        <v>20</v>
      </c>
      <c r="C74" s="34">
        <v>18</v>
      </c>
      <c r="D74" s="26">
        <v>360</v>
      </c>
      <c r="E74" s="5">
        <v>100080</v>
      </c>
      <c r="F74" s="26">
        <v>360</v>
      </c>
      <c r="G74" s="26">
        <v>720</v>
      </c>
      <c r="H74" s="5">
        <v>200160</v>
      </c>
      <c r="I74" s="26">
        <v>8640</v>
      </c>
      <c r="J74" s="5">
        <v>2401920</v>
      </c>
    </row>
    <row r="75" spans="1:10" x14ac:dyDescent="0.35">
      <c r="A75" s="54" t="s">
        <v>239</v>
      </c>
      <c r="B75" s="128">
        <v>60</v>
      </c>
      <c r="C75" s="34">
        <v>25</v>
      </c>
      <c r="D75" s="26">
        <v>1500</v>
      </c>
      <c r="E75" s="5">
        <v>417000</v>
      </c>
      <c r="F75" s="26">
        <v>1080</v>
      </c>
      <c r="G75" s="26">
        <v>2580</v>
      </c>
      <c r="H75" s="5">
        <v>717240</v>
      </c>
      <c r="I75" s="26">
        <v>30960</v>
      </c>
      <c r="J75" s="5">
        <v>8606880</v>
      </c>
    </row>
    <row r="76" spans="1:10" x14ac:dyDescent="0.35">
      <c r="A76" s="54" t="s">
        <v>240</v>
      </c>
      <c r="B76" s="128">
        <v>150</v>
      </c>
      <c r="C76" s="34">
        <v>32</v>
      </c>
      <c r="D76" s="26">
        <v>4800</v>
      </c>
      <c r="E76" s="5">
        <v>1334400</v>
      </c>
      <c r="F76" s="26">
        <v>2160</v>
      </c>
      <c r="G76" s="26">
        <v>6960</v>
      </c>
      <c r="H76" s="5">
        <v>1934880</v>
      </c>
      <c r="I76" s="26">
        <v>83520</v>
      </c>
      <c r="J76" s="5">
        <v>23218560</v>
      </c>
    </row>
    <row r="77" spans="1:10" x14ac:dyDescent="0.35">
      <c r="A77" s="132" t="s">
        <v>383</v>
      </c>
      <c r="B77" s="132">
        <v>400</v>
      </c>
      <c r="C77" s="29">
        <v>40</v>
      </c>
      <c r="D77" s="29">
        <v>16000</v>
      </c>
      <c r="E77" s="9">
        <v>4448000</v>
      </c>
      <c r="F77" s="29">
        <v>5400</v>
      </c>
      <c r="G77" s="29">
        <v>21400</v>
      </c>
      <c r="H77" s="9">
        <v>5949200</v>
      </c>
      <c r="I77" s="29">
        <v>256800</v>
      </c>
      <c r="J77" s="9">
        <v>71390400</v>
      </c>
    </row>
    <row r="78" spans="1:10" ht="16" x14ac:dyDescent="0.4">
      <c r="A78" s="287" t="s">
        <v>384</v>
      </c>
      <c r="B78" s="244"/>
      <c r="C78" s="244"/>
      <c r="D78" s="244"/>
      <c r="E78" s="244"/>
      <c r="F78" s="244"/>
      <c r="G78" s="244"/>
      <c r="H78" s="244"/>
      <c r="I78" s="244"/>
      <c r="J78" s="244"/>
    </row>
    <row r="79" spans="1:10" x14ac:dyDescent="0.35">
      <c r="A79" s="139"/>
      <c r="B79" s="139"/>
      <c r="C79" s="139"/>
      <c r="D79" s="139"/>
      <c r="E79" s="139"/>
      <c r="F79" s="139"/>
      <c r="G79" s="139"/>
      <c r="H79" s="139"/>
      <c r="I79" s="139"/>
      <c r="J79" s="139"/>
    </row>
    <row r="80" spans="1:10" ht="16" x14ac:dyDescent="0.4">
      <c r="A80" s="290" t="s">
        <v>703</v>
      </c>
      <c r="B80" s="244"/>
      <c r="C80" s="244"/>
      <c r="D80" s="244"/>
      <c r="E80" s="244"/>
      <c r="F80" s="244"/>
      <c r="G80" s="244"/>
      <c r="H80" s="244"/>
      <c r="I80" s="244"/>
      <c r="J80" s="244"/>
    </row>
    <row r="81" spans="1:10" x14ac:dyDescent="0.35">
      <c r="A81" s="141" t="s">
        <v>704</v>
      </c>
      <c r="B81" s="141" t="s">
        <v>668</v>
      </c>
      <c r="C81" s="141" t="s">
        <v>201</v>
      </c>
      <c r="D81" s="141" t="s">
        <v>670</v>
      </c>
      <c r="E81" s="141" t="s">
        <v>202</v>
      </c>
      <c r="F81" s="141" t="s">
        <v>705</v>
      </c>
      <c r="G81" t="s">
        <v>385</v>
      </c>
      <c r="H81" t="s">
        <v>25</v>
      </c>
    </row>
    <row r="82" spans="1:10" x14ac:dyDescent="0.35">
      <c r="A82" s="54" t="s">
        <v>192</v>
      </c>
      <c r="B82" s="26">
        <v>1527</v>
      </c>
      <c r="C82" s="5">
        <v>424506</v>
      </c>
      <c r="D82" s="26">
        <v>18324</v>
      </c>
      <c r="E82" s="5">
        <v>5094072</v>
      </c>
      <c r="F82" s="6">
        <v>61.423974255832697</v>
      </c>
      <c r="G82" t="s">
        <v>386</v>
      </c>
      <c r="H82" t="s">
        <v>25</v>
      </c>
    </row>
    <row r="83" spans="1:10" x14ac:dyDescent="0.35">
      <c r="A83" s="54" t="s">
        <v>257</v>
      </c>
      <c r="B83" s="26">
        <v>959</v>
      </c>
      <c r="C83" s="5">
        <v>266602</v>
      </c>
      <c r="D83" s="26">
        <v>11508</v>
      </c>
      <c r="E83" s="5">
        <v>3199224</v>
      </c>
      <c r="F83" s="6">
        <v>38.576025744167303</v>
      </c>
      <c r="G83" t="s">
        <v>387</v>
      </c>
      <c r="H83" t="s">
        <v>26</v>
      </c>
    </row>
    <row r="84" spans="1:10" x14ac:dyDescent="0.35">
      <c r="A84" s="142" t="s">
        <v>706</v>
      </c>
      <c r="B84" s="35">
        <v>2486</v>
      </c>
      <c r="C84" s="18">
        <v>691108</v>
      </c>
      <c r="D84" s="35">
        <v>29832</v>
      </c>
      <c r="E84" s="18">
        <v>8293296</v>
      </c>
      <c r="F84" s="19">
        <v>1</v>
      </c>
      <c r="G84" t="s">
        <v>388</v>
      </c>
      <c r="H84" t="s">
        <v>26</v>
      </c>
    </row>
    <row r="85" spans="1:10" x14ac:dyDescent="0.35">
      <c r="A85" t="s">
        <v>389</v>
      </c>
      <c r="B85" t="s">
        <v>390</v>
      </c>
      <c r="C85" t="s">
        <v>391</v>
      </c>
      <c r="D85" t="s">
        <v>392</v>
      </c>
      <c r="E85" t="s">
        <v>393</v>
      </c>
      <c r="F85" t="s">
        <v>394</v>
      </c>
      <c r="G85" t="s">
        <v>395</v>
      </c>
      <c r="H85" t="s">
        <v>33</v>
      </c>
    </row>
    <row r="87" spans="1:10" ht="16" x14ac:dyDescent="0.4">
      <c r="A87" s="256" t="s">
        <v>396</v>
      </c>
      <c r="B87" s="244"/>
      <c r="C87" s="244"/>
      <c r="D87" s="244"/>
      <c r="E87" s="244"/>
      <c r="F87" s="244"/>
      <c r="G87" s="244"/>
      <c r="H87" s="244"/>
      <c r="I87" s="244"/>
      <c r="J87" s="244"/>
    </row>
    <row r="88" spans="1:10" x14ac:dyDescent="0.35">
      <c r="A88" s="138" t="s">
        <v>397</v>
      </c>
      <c r="B88" s="138" t="s">
        <v>83</v>
      </c>
      <c r="C88" s="138" t="s">
        <v>0</v>
      </c>
      <c r="D88" s="138" t="s">
        <v>398</v>
      </c>
      <c r="E88" s="138" t="s">
        <v>3</v>
      </c>
      <c r="F88" s="138" t="s">
        <v>399</v>
      </c>
      <c r="G88" s="139"/>
      <c r="H88" s="139"/>
      <c r="I88" s="139"/>
      <c r="J88" s="139"/>
    </row>
    <row r="89" spans="1:10" x14ac:dyDescent="0.35">
      <c r="A89" s="54" t="s">
        <v>400</v>
      </c>
      <c r="B89" s="54" t="s">
        <v>319</v>
      </c>
      <c r="C89" s="54" t="s">
        <v>401</v>
      </c>
      <c r="D89" s="5">
        <v>400000</v>
      </c>
      <c r="E89" s="54" t="s">
        <v>402</v>
      </c>
      <c r="F89" s="54" t="s">
        <v>403</v>
      </c>
    </row>
    <row r="90" spans="1:10" x14ac:dyDescent="0.35">
      <c r="A90" s="54" t="s">
        <v>404</v>
      </c>
      <c r="B90" s="54" t="s">
        <v>405</v>
      </c>
      <c r="C90" s="54" t="s">
        <v>406</v>
      </c>
      <c r="D90" s="5">
        <v>350000</v>
      </c>
      <c r="E90" s="54" t="s">
        <v>25</v>
      </c>
      <c r="F90" s="54" t="s">
        <v>407</v>
      </c>
    </row>
    <row r="91" spans="1:10" x14ac:dyDescent="0.35">
      <c r="A91" s="54" t="s">
        <v>408</v>
      </c>
      <c r="B91" s="54" t="s">
        <v>409</v>
      </c>
      <c r="C91" s="54" t="s">
        <v>410</v>
      </c>
      <c r="D91" s="5">
        <v>200000</v>
      </c>
      <c r="E91" s="54" t="s">
        <v>26</v>
      </c>
      <c r="F91" s="54" t="s">
        <v>411</v>
      </c>
    </row>
    <row r="92" spans="1:10" x14ac:dyDescent="0.35">
      <c r="A92" s="54" t="s">
        <v>412</v>
      </c>
      <c r="B92" s="54" t="s">
        <v>413</v>
      </c>
      <c r="C92" s="54" t="s">
        <v>414</v>
      </c>
      <c r="D92" s="5">
        <v>500000</v>
      </c>
      <c r="E92" s="54" t="s">
        <v>26</v>
      </c>
      <c r="F92" s="54" t="s">
        <v>415</v>
      </c>
    </row>
    <row r="93" spans="1:10" x14ac:dyDescent="0.35">
      <c r="A93" s="54" t="s">
        <v>416</v>
      </c>
      <c r="B93" s="54" t="s">
        <v>417</v>
      </c>
      <c r="C93" s="54" t="s">
        <v>418</v>
      </c>
      <c r="D93" s="5">
        <v>600000</v>
      </c>
      <c r="E93" s="54" t="s">
        <v>26</v>
      </c>
      <c r="F93" s="54" t="s">
        <v>419</v>
      </c>
    </row>
    <row r="94" spans="1:10" x14ac:dyDescent="0.35">
      <c r="A94" s="140" t="s">
        <v>420</v>
      </c>
      <c r="B94" s="140"/>
      <c r="C94" s="140"/>
      <c r="D94" s="16">
        <v>2050000</v>
      </c>
      <c r="E94" s="140"/>
      <c r="F94" s="140"/>
    </row>
    <row r="96" spans="1:10" ht="16" x14ac:dyDescent="0.4">
      <c r="A96" s="262" t="s">
        <v>421</v>
      </c>
      <c r="B96" s="262"/>
      <c r="C96" s="262"/>
      <c r="D96" s="262"/>
      <c r="E96" s="262"/>
      <c r="F96" s="262"/>
      <c r="G96" s="262"/>
      <c r="H96" s="262"/>
      <c r="I96" s="262"/>
      <c r="J96" s="262"/>
    </row>
    <row r="97" spans="1:10" x14ac:dyDescent="0.35">
      <c r="A97" s="53" t="s">
        <v>2</v>
      </c>
      <c r="B97" s="53" t="s">
        <v>19</v>
      </c>
      <c r="C97" s="53" t="s">
        <v>20</v>
      </c>
      <c r="D97" s="53" t="s">
        <v>3</v>
      </c>
      <c r="E97" s="53" t="s">
        <v>21</v>
      </c>
      <c r="F97" s="53" t="s">
        <v>17</v>
      </c>
      <c r="G97" s="53" t="s">
        <v>70</v>
      </c>
      <c r="H97" s="139"/>
      <c r="I97" s="139"/>
      <c r="J97" s="139"/>
    </row>
    <row r="98" spans="1:10" x14ac:dyDescent="0.35">
      <c r="A98" s="54">
        <v>1</v>
      </c>
      <c r="B98" s="54" t="s">
        <v>422</v>
      </c>
      <c r="C98" s="54" t="s">
        <v>248</v>
      </c>
      <c r="D98" s="54" t="s">
        <v>402</v>
      </c>
      <c r="E98" s="54" t="s">
        <v>249</v>
      </c>
      <c r="F98" s="54" t="s">
        <v>423</v>
      </c>
      <c r="G98" s="54" t="s">
        <v>424</v>
      </c>
    </row>
    <row r="99" spans="1:10" x14ac:dyDescent="0.35">
      <c r="A99" s="54">
        <v>2</v>
      </c>
      <c r="B99" s="54" t="s">
        <v>425</v>
      </c>
      <c r="C99" s="54" t="s">
        <v>243</v>
      </c>
      <c r="D99" s="54" t="s">
        <v>25</v>
      </c>
      <c r="E99" s="54" t="s">
        <v>247</v>
      </c>
      <c r="F99" s="54" t="s">
        <v>245</v>
      </c>
      <c r="G99" s="54" t="s">
        <v>426</v>
      </c>
    </row>
    <row r="100" spans="1:10" x14ac:dyDescent="0.35">
      <c r="A100" s="54">
        <v>3</v>
      </c>
      <c r="B100" s="54" t="s">
        <v>427</v>
      </c>
      <c r="C100" s="54" t="s">
        <v>250</v>
      </c>
      <c r="D100" s="54" t="s">
        <v>25</v>
      </c>
      <c r="E100" s="54" t="s">
        <v>249</v>
      </c>
      <c r="F100" s="54" t="s">
        <v>245</v>
      </c>
      <c r="G100" s="54" t="s">
        <v>71</v>
      </c>
    </row>
    <row r="101" spans="1:10" x14ac:dyDescent="0.35">
      <c r="A101" s="54">
        <v>4</v>
      </c>
      <c r="B101" s="54" t="s">
        <v>428</v>
      </c>
      <c r="C101" s="54" t="s">
        <v>243</v>
      </c>
      <c r="D101" s="54" t="s">
        <v>25</v>
      </c>
      <c r="E101" s="54" t="s">
        <v>251</v>
      </c>
      <c r="F101" s="54" t="s">
        <v>245</v>
      </c>
      <c r="G101" s="54" t="s">
        <v>429</v>
      </c>
    </row>
    <row r="102" spans="1:10" x14ac:dyDescent="0.35">
      <c r="A102" s="54">
        <v>5</v>
      </c>
      <c r="B102" s="54" t="s">
        <v>430</v>
      </c>
      <c r="C102" s="54" t="s">
        <v>248</v>
      </c>
      <c r="D102" s="54" t="s">
        <v>25</v>
      </c>
      <c r="E102" s="54" t="s">
        <v>251</v>
      </c>
      <c r="F102" s="54" t="s">
        <v>245</v>
      </c>
      <c r="G102" s="54" t="s">
        <v>431</v>
      </c>
    </row>
    <row r="103" spans="1:10" x14ac:dyDescent="0.35">
      <c r="A103" s="54">
        <v>6</v>
      </c>
      <c r="B103" s="54" t="s">
        <v>432</v>
      </c>
      <c r="C103" s="54" t="s">
        <v>433</v>
      </c>
      <c r="D103" s="54" t="s">
        <v>26</v>
      </c>
      <c r="E103" s="54" t="s">
        <v>434</v>
      </c>
      <c r="F103" s="54" t="s">
        <v>245</v>
      </c>
      <c r="G103" s="54" t="s">
        <v>435</v>
      </c>
    </row>
    <row r="104" spans="1:10" x14ac:dyDescent="0.35">
      <c r="A104" s="54">
        <v>7</v>
      </c>
      <c r="B104" s="54" t="s">
        <v>436</v>
      </c>
      <c r="C104" s="54" t="s">
        <v>248</v>
      </c>
      <c r="D104" s="54" t="s">
        <v>25</v>
      </c>
      <c r="E104" s="54" t="s">
        <v>434</v>
      </c>
      <c r="F104" s="54" t="s">
        <v>245</v>
      </c>
      <c r="G104" s="54" t="s">
        <v>437</v>
      </c>
    </row>
    <row r="106" spans="1:10" ht="16" x14ac:dyDescent="0.4">
      <c r="A106" s="277" t="s">
        <v>438</v>
      </c>
      <c r="B106" s="244"/>
      <c r="C106" s="244"/>
      <c r="D106" s="244"/>
      <c r="E106" s="244"/>
      <c r="F106" s="244"/>
      <c r="G106" s="244"/>
      <c r="H106" s="244"/>
      <c r="I106" s="244"/>
      <c r="J106" s="244"/>
    </row>
    <row r="107" spans="1:10" x14ac:dyDescent="0.35">
      <c r="A107" s="286" t="s">
        <v>439</v>
      </c>
      <c r="B107" s="244"/>
      <c r="C107" s="244"/>
      <c r="D107" s="244"/>
      <c r="E107" s="244"/>
      <c r="F107" s="244"/>
      <c r="G107" s="244"/>
      <c r="H107" s="244"/>
      <c r="I107" s="244"/>
      <c r="J107" s="244"/>
    </row>
    <row r="108" spans="1:10" x14ac:dyDescent="0.35">
      <c r="A108" s="286" t="s">
        <v>440</v>
      </c>
      <c r="B108" s="244"/>
      <c r="C108" s="244"/>
      <c r="D108" s="244"/>
      <c r="E108" s="244"/>
      <c r="F108" s="244"/>
      <c r="G108" s="244"/>
      <c r="H108" s="244"/>
      <c r="I108" s="244"/>
      <c r="J108" s="244"/>
    </row>
    <row r="109" spans="1:10" x14ac:dyDescent="0.35">
      <c r="A109" s="286" t="s">
        <v>441</v>
      </c>
      <c r="B109" s="244"/>
      <c r="C109" s="244"/>
      <c r="D109" s="244"/>
      <c r="E109" s="244"/>
      <c r="F109" s="244"/>
      <c r="G109" s="244"/>
      <c r="H109" s="244"/>
      <c r="I109" s="244"/>
      <c r="J109" s="244"/>
    </row>
    <row r="110" spans="1:10" x14ac:dyDescent="0.35">
      <c r="A110" s="286" t="s">
        <v>442</v>
      </c>
      <c r="B110" s="244"/>
      <c r="C110" s="244"/>
      <c r="D110" s="244"/>
      <c r="E110" s="244"/>
      <c r="F110" s="244"/>
      <c r="G110" s="244"/>
      <c r="H110" s="244"/>
      <c r="I110" s="244"/>
      <c r="J110" s="244"/>
    </row>
    <row r="111" spans="1:10" x14ac:dyDescent="0.35">
      <c r="A111" s="286" t="s">
        <v>443</v>
      </c>
      <c r="B111" s="244"/>
      <c r="C111" s="244"/>
      <c r="D111" s="244"/>
      <c r="E111" s="244"/>
      <c r="F111" s="244"/>
      <c r="G111" s="244"/>
      <c r="H111" s="244"/>
      <c r="I111" s="244"/>
      <c r="J111" s="244"/>
    </row>
    <row r="112" spans="1:10" x14ac:dyDescent="0.35">
      <c r="A112" s="286" t="s">
        <v>444</v>
      </c>
      <c r="B112" s="244"/>
      <c r="C112" s="244"/>
      <c r="D112" s="244"/>
      <c r="E112" s="244"/>
      <c r="F112" s="244"/>
      <c r="G112" s="244"/>
      <c r="H112" s="244"/>
      <c r="I112" s="244"/>
      <c r="J112" s="244"/>
    </row>
    <row r="113" spans="1:10" x14ac:dyDescent="0.35">
      <c r="A113" s="284" t="s">
        <v>445</v>
      </c>
      <c r="B113" s="244"/>
      <c r="C113" s="244"/>
      <c r="D113" s="244"/>
      <c r="E113" s="244"/>
      <c r="F113" s="244"/>
      <c r="G113" s="244"/>
      <c r="H113" s="244"/>
      <c r="I113" s="244"/>
      <c r="J113" s="244"/>
    </row>
    <row r="116" spans="1:10" x14ac:dyDescent="0.35">
      <c r="A116" s="149" t="s">
        <v>1878</v>
      </c>
      <c r="B116" s="149"/>
      <c r="C116" s="149"/>
      <c r="D116" s="149"/>
      <c r="E116" s="149"/>
      <c r="F116" s="149"/>
      <c r="G116" s="149"/>
      <c r="H116" s="149"/>
      <c r="I116" s="149"/>
      <c r="J116" s="149"/>
    </row>
    <row r="117" spans="1:10" x14ac:dyDescent="0.35">
      <c r="A117" t="s">
        <v>1879</v>
      </c>
    </row>
    <row r="119" spans="1:10" x14ac:dyDescent="0.35">
      <c r="A119" s="149" t="s">
        <v>1880</v>
      </c>
      <c r="B119" s="149"/>
      <c r="C119" s="149"/>
      <c r="D119" s="149"/>
      <c r="E119" s="149"/>
      <c r="F119" s="149"/>
      <c r="G119" s="149"/>
      <c r="H119" s="149"/>
      <c r="I119" s="149"/>
      <c r="J119" s="149"/>
    </row>
    <row r="120" spans="1:10" x14ac:dyDescent="0.35">
      <c r="A120" s="157" t="s">
        <v>1881</v>
      </c>
      <c r="B120" s="157" t="s">
        <v>1882</v>
      </c>
      <c r="C120" s="157" t="s">
        <v>1883</v>
      </c>
      <c r="D120" s="157" t="s">
        <v>9</v>
      </c>
      <c r="E120" s="157" t="s">
        <v>1884</v>
      </c>
      <c r="F120" s="157" t="s">
        <v>1885</v>
      </c>
      <c r="G120" s="157" t="s">
        <v>1886</v>
      </c>
      <c r="H120" s="157" t="s">
        <v>1887</v>
      </c>
      <c r="I120" s="157" t="s">
        <v>1888</v>
      </c>
      <c r="J120" s="157"/>
    </row>
    <row r="121" spans="1:10" x14ac:dyDescent="0.35">
      <c r="A121" t="s">
        <v>1889</v>
      </c>
      <c r="B121" t="s">
        <v>1890</v>
      </c>
      <c r="C121" t="s">
        <v>1891</v>
      </c>
      <c r="D121" t="s">
        <v>1892</v>
      </c>
      <c r="E121" t="s">
        <v>1893</v>
      </c>
      <c r="F121" t="s">
        <v>1894</v>
      </c>
      <c r="G121" t="s">
        <v>1895</v>
      </c>
      <c r="H121" t="s">
        <v>1896</v>
      </c>
      <c r="I121" s="225" t="s">
        <v>1897</v>
      </c>
    </row>
    <row r="122" spans="1:10" x14ac:dyDescent="0.35">
      <c r="A122" t="s">
        <v>1898</v>
      </c>
      <c r="B122" t="s">
        <v>1899</v>
      </c>
      <c r="C122" t="s">
        <v>1900</v>
      </c>
      <c r="D122" t="s">
        <v>1901</v>
      </c>
      <c r="E122" t="s">
        <v>1902</v>
      </c>
      <c r="F122" t="s">
        <v>1903</v>
      </c>
      <c r="G122" t="s">
        <v>1904</v>
      </c>
      <c r="H122" t="s">
        <v>1905</v>
      </c>
      <c r="I122" s="225" t="s">
        <v>1897</v>
      </c>
    </row>
    <row r="123" spans="1:10" x14ac:dyDescent="0.35">
      <c r="A123" t="s">
        <v>1906</v>
      </c>
      <c r="B123" t="s">
        <v>1907</v>
      </c>
      <c r="C123" t="s">
        <v>1908</v>
      </c>
      <c r="D123" t="s">
        <v>1909</v>
      </c>
      <c r="E123" t="s">
        <v>1910</v>
      </c>
      <c r="F123" t="s">
        <v>1911</v>
      </c>
      <c r="G123" t="s">
        <v>1912</v>
      </c>
      <c r="H123" t="s">
        <v>1913</v>
      </c>
      <c r="I123" t="s">
        <v>508</v>
      </c>
    </row>
    <row r="124" spans="1:10" x14ac:dyDescent="0.35">
      <c r="A124" t="s">
        <v>1914</v>
      </c>
      <c r="B124" t="s">
        <v>1915</v>
      </c>
      <c r="C124" t="s">
        <v>1916</v>
      </c>
      <c r="D124" t="s">
        <v>1917</v>
      </c>
      <c r="E124" t="s">
        <v>1918</v>
      </c>
      <c r="F124" t="s">
        <v>1919</v>
      </c>
      <c r="G124" t="s">
        <v>1920</v>
      </c>
      <c r="H124" t="s">
        <v>1921</v>
      </c>
      <c r="I124" t="s">
        <v>214</v>
      </c>
    </row>
    <row r="125" spans="1:10" x14ac:dyDescent="0.35">
      <c r="A125" t="s">
        <v>1922</v>
      </c>
      <c r="B125" t="s">
        <v>1923</v>
      </c>
      <c r="C125" t="s">
        <v>1924</v>
      </c>
      <c r="D125" t="s">
        <v>1925</v>
      </c>
      <c r="E125" t="s">
        <v>1926</v>
      </c>
      <c r="F125" t="s">
        <v>1927</v>
      </c>
      <c r="G125" t="s">
        <v>1928</v>
      </c>
      <c r="H125" t="s">
        <v>1929</v>
      </c>
      <c r="I125" s="225" t="s">
        <v>1930</v>
      </c>
    </row>
    <row r="126" spans="1:10" x14ac:dyDescent="0.35">
      <c r="A126" s="205" t="s">
        <v>1931</v>
      </c>
      <c r="B126" s="205" t="s">
        <v>1932</v>
      </c>
      <c r="C126" s="205" t="s">
        <v>1933</v>
      </c>
      <c r="D126" s="205" t="s">
        <v>1934</v>
      </c>
      <c r="E126" s="205" t="s">
        <v>1935</v>
      </c>
      <c r="F126" s="205" t="s">
        <v>1936</v>
      </c>
      <c r="G126" s="205" t="s">
        <v>1937</v>
      </c>
      <c r="H126" s="205" t="s">
        <v>1938</v>
      </c>
      <c r="I126" s="205" t="s">
        <v>1939</v>
      </c>
      <c r="J126" s="205"/>
    </row>
    <row r="128" spans="1:10" x14ac:dyDescent="0.35">
      <c r="A128" s="149" t="s">
        <v>1940</v>
      </c>
      <c r="B128" s="149"/>
      <c r="C128" s="149"/>
      <c r="D128" s="149"/>
      <c r="E128" s="149"/>
      <c r="F128" s="149"/>
      <c r="G128" s="149"/>
      <c r="H128" s="149"/>
      <c r="I128" s="149"/>
      <c r="J128" s="149"/>
    </row>
    <row r="129" spans="1:10" x14ac:dyDescent="0.35">
      <c r="A129" s="157" t="s">
        <v>361</v>
      </c>
      <c r="B129" s="157" t="s">
        <v>91</v>
      </c>
      <c r="C129" s="157" t="s">
        <v>1941</v>
      </c>
      <c r="D129" s="157" t="s">
        <v>1942</v>
      </c>
      <c r="E129" s="157" t="s">
        <v>1598</v>
      </c>
      <c r="F129" s="157" t="s">
        <v>1943</v>
      </c>
      <c r="G129" s="157" t="s">
        <v>1944</v>
      </c>
      <c r="H129" s="157" t="s">
        <v>1945</v>
      </c>
      <c r="I129" s="157"/>
      <c r="J129" s="157"/>
    </row>
    <row r="130" spans="1:10" x14ac:dyDescent="0.35">
      <c r="A130" t="s">
        <v>370</v>
      </c>
      <c r="B130" t="s">
        <v>1946</v>
      </c>
      <c r="C130" t="s">
        <v>1947</v>
      </c>
      <c r="D130" t="s">
        <v>1948</v>
      </c>
      <c r="E130" t="s">
        <v>1949</v>
      </c>
      <c r="F130" t="s">
        <v>1950</v>
      </c>
      <c r="G130" t="s">
        <v>1951</v>
      </c>
      <c r="H130" t="s">
        <v>1952</v>
      </c>
    </row>
    <row r="131" spans="1:10" x14ac:dyDescent="0.35">
      <c r="A131" t="s">
        <v>1953</v>
      </c>
      <c r="B131" t="s">
        <v>1954</v>
      </c>
      <c r="C131" t="s">
        <v>1955</v>
      </c>
      <c r="D131" t="s">
        <v>1956</v>
      </c>
      <c r="E131" t="s">
        <v>1957</v>
      </c>
      <c r="F131" t="s">
        <v>1958</v>
      </c>
      <c r="G131" t="s">
        <v>1959</v>
      </c>
      <c r="H131" t="s">
        <v>1960</v>
      </c>
    </row>
    <row r="132" spans="1:10" x14ac:dyDescent="0.35">
      <c r="A132" t="s">
        <v>373</v>
      </c>
      <c r="B132" t="s">
        <v>374</v>
      </c>
      <c r="C132" t="s">
        <v>1961</v>
      </c>
      <c r="D132" t="s">
        <v>1962</v>
      </c>
      <c r="E132" t="s">
        <v>1963</v>
      </c>
      <c r="F132" t="s">
        <v>1964</v>
      </c>
      <c r="G132" t="s">
        <v>1965</v>
      </c>
      <c r="H132" t="s">
        <v>1966</v>
      </c>
    </row>
    <row r="133" spans="1:10" x14ac:dyDescent="0.35">
      <c r="A133" t="s">
        <v>1967</v>
      </c>
      <c r="B133" t="s">
        <v>1968</v>
      </c>
      <c r="C133" t="s">
        <v>1969</v>
      </c>
      <c r="D133" t="s">
        <v>1970</v>
      </c>
      <c r="E133" t="s">
        <v>1971</v>
      </c>
      <c r="F133" t="s">
        <v>1972</v>
      </c>
      <c r="G133" t="s">
        <v>1973</v>
      </c>
      <c r="H133" t="s">
        <v>1974</v>
      </c>
    </row>
    <row r="134" spans="1:10" x14ac:dyDescent="0.35">
      <c r="A134" t="s">
        <v>1975</v>
      </c>
      <c r="B134" t="s">
        <v>377</v>
      </c>
      <c r="C134" t="s">
        <v>1976</v>
      </c>
      <c r="D134" t="s">
        <v>1977</v>
      </c>
      <c r="E134" t="s">
        <v>1978</v>
      </c>
      <c r="F134" t="s">
        <v>1979</v>
      </c>
      <c r="G134" t="s">
        <v>1980</v>
      </c>
      <c r="H134" t="s">
        <v>1972</v>
      </c>
    </row>
    <row r="135" spans="1:10" x14ac:dyDescent="0.35">
      <c r="A135" t="s">
        <v>376</v>
      </c>
      <c r="B135" t="s">
        <v>377</v>
      </c>
      <c r="C135" t="s">
        <v>1961</v>
      </c>
      <c r="D135" t="s">
        <v>1512</v>
      </c>
      <c r="E135" t="s">
        <v>1981</v>
      </c>
      <c r="F135" t="s">
        <v>1982</v>
      </c>
      <c r="G135" t="s">
        <v>1983</v>
      </c>
      <c r="H135" t="s">
        <v>1984</v>
      </c>
    </row>
    <row r="137" spans="1:10" x14ac:dyDescent="0.35">
      <c r="A137" s="149" t="s">
        <v>1985</v>
      </c>
      <c r="B137" s="149"/>
      <c r="C137" s="149"/>
      <c r="D137" s="149"/>
      <c r="E137" s="149"/>
      <c r="F137" s="149"/>
      <c r="G137" s="149"/>
      <c r="H137" s="149"/>
      <c r="I137" s="149"/>
      <c r="J137" s="149"/>
    </row>
    <row r="139" spans="1:10" x14ac:dyDescent="0.35">
      <c r="A139" s="149" t="s">
        <v>1986</v>
      </c>
      <c r="B139" s="149"/>
      <c r="C139" s="149"/>
      <c r="D139" s="149"/>
      <c r="E139" s="149"/>
      <c r="F139" s="149"/>
      <c r="G139" s="149"/>
      <c r="H139" s="149"/>
      <c r="I139" s="149"/>
      <c r="J139" s="149"/>
    </row>
    <row r="140" spans="1:10" x14ac:dyDescent="0.35">
      <c r="A140" s="157" t="s">
        <v>88</v>
      </c>
      <c r="B140" s="157" t="s">
        <v>318</v>
      </c>
      <c r="C140" s="157" t="s">
        <v>89</v>
      </c>
      <c r="D140" s="157" t="s">
        <v>714</v>
      </c>
      <c r="E140" s="157" t="s">
        <v>717</v>
      </c>
      <c r="F140" s="157" t="s">
        <v>718</v>
      </c>
      <c r="G140" s="157" t="s">
        <v>722</v>
      </c>
      <c r="H140" s="157" t="s">
        <v>83</v>
      </c>
      <c r="I140" s="157" t="s">
        <v>1987</v>
      </c>
      <c r="J140" s="157"/>
    </row>
    <row r="141" spans="1:10" x14ac:dyDescent="0.35">
      <c r="A141" t="s">
        <v>84</v>
      </c>
      <c r="B141">
        <v>1</v>
      </c>
      <c r="C141" s="223">
        <v>11</v>
      </c>
      <c r="D141" t="s">
        <v>1988</v>
      </c>
      <c r="E141" s="223">
        <v>132</v>
      </c>
      <c r="F141" t="s">
        <v>1989</v>
      </c>
      <c r="G141" s="223">
        <v>18</v>
      </c>
      <c r="H141" t="s">
        <v>1990</v>
      </c>
      <c r="I141" t="s">
        <v>1991</v>
      </c>
    </row>
    <row r="142" spans="1:10" x14ac:dyDescent="0.35">
      <c r="A142" t="s">
        <v>85</v>
      </c>
      <c r="B142">
        <v>3</v>
      </c>
      <c r="C142" s="223">
        <v>25</v>
      </c>
      <c r="D142" t="s">
        <v>1992</v>
      </c>
      <c r="E142" s="223">
        <v>300</v>
      </c>
      <c r="F142" t="s">
        <v>1993</v>
      </c>
      <c r="G142" s="223">
        <v>36</v>
      </c>
      <c r="H142" t="s">
        <v>1994</v>
      </c>
      <c r="I142" t="s">
        <v>1995</v>
      </c>
    </row>
    <row r="143" spans="1:10" x14ac:dyDescent="0.35">
      <c r="A143" t="s">
        <v>86</v>
      </c>
      <c r="B143">
        <v>5</v>
      </c>
      <c r="C143" s="223">
        <v>43</v>
      </c>
      <c r="D143" t="s">
        <v>1996</v>
      </c>
      <c r="E143" s="223">
        <v>516</v>
      </c>
      <c r="F143" t="s">
        <v>1997</v>
      </c>
      <c r="G143" s="223">
        <v>72</v>
      </c>
      <c r="H143" t="s">
        <v>1998</v>
      </c>
      <c r="I143" t="s">
        <v>1999</v>
      </c>
    </row>
    <row r="144" spans="1:10" x14ac:dyDescent="0.35">
      <c r="A144" t="s">
        <v>87</v>
      </c>
      <c r="B144">
        <v>10</v>
      </c>
      <c r="C144" s="223">
        <v>90</v>
      </c>
      <c r="D144" t="s">
        <v>2000</v>
      </c>
      <c r="E144" s="223">
        <v>1080</v>
      </c>
      <c r="F144" t="s">
        <v>2001</v>
      </c>
      <c r="G144" s="223">
        <v>126</v>
      </c>
      <c r="H144" t="s">
        <v>2002</v>
      </c>
      <c r="I144" t="s">
        <v>2003</v>
      </c>
    </row>
    <row r="145" spans="1:10" x14ac:dyDescent="0.35">
      <c r="A145" t="s">
        <v>324</v>
      </c>
      <c r="B145" t="s">
        <v>2004</v>
      </c>
      <c r="C145" s="223">
        <v>180</v>
      </c>
      <c r="D145" t="s">
        <v>2005</v>
      </c>
      <c r="E145" s="223">
        <v>2160</v>
      </c>
      <c r="F145" t="s">
        <v>2006</v>
      </c>
      <c r="G145" s="223">
        <v>180</v>
      </c>
      <c r="H145" t="s">
        <v>2007</v>
      </c>
      <c r="I145" t="s">
        <v>2008</v>
      </c>
    </row>
    <row r="147" spans="1:10" x14ac:dyDescent="0.35">
      <c r="A147" s="149" t="s">
        <v>2009</v>
      </c>
      <c r="B147" s="149"/>
      <c r="C147" s="149"/>
      <c r="D147" s="149"/>
      <c r="E147" s="149"/>
      <c r="F147" s="149"/>
      <c r="G147" s="149"/>
      <c r="H147" s="149"/>
      <c r="I147" s="149"/>
      <c r="J147" s="149"/>
    </row>
    <row r="148" spans="1:10" x14ac:dyDescent="0.35">
      <c r="A148" s="157" t="s">
        <v>82</v>
      </c>
      <c r="B148" s="157" t="s">
        <v>2010</v>
      </c>
      <c r="C148" s="157" t="s">
        <v>2011</v>
      </c>
      <c r="D148" s="157" t="s">
        <v>2012</v>
      </c>
      <c r="E148" s="157" t="s">
        <v>0</v>
      </c>
      <c r="F148" s="157" t="s">
        <v>2013</v>
      </c>
      <c r="G148" s="157" t="s">
        <v>2014</v>
      </c>
      <c r="H148" s="157" t="s">
        <v>9</v>
      </c>
      <c r="I148" s="157" t="s">
        <v>2015</v>
      </c>
      <c r="J148" s="157"/>
    </row>
    <row r="149" spans="1:10" x14ac:dyDescent="0.35">
      <c r="A149" t="s">
        <v>2016</v>
      </c>
      <c r="B149" t="s">
        <v>2017</v>
      </c>
      <c r="C149" s="223">
        <v>3000</v>
      </c>
      <c r="D149" t="s">
        <v>2018</v>
      </c>
      <c r="E149" t="s">
        <v>840</v>
      </c>
      <c r="F149" s="223">
        <v>450</v>
      </c>
      <c r="G149" t="s">
        <v>2019</v>
      </c>
      <c r="H149" t="s">
        <v>2020</v>
      </c>
      <c r="I149" s="43">
        <v>0.5</v>
      </c>
    </row>
    <row r="150" spans="1:10" ht="16" x14ac:dyDescent="0.4">
      <c r="A150" s="253" t="s">
        <v>2036</v>
      </c>
      <c r="B150" s="244"/>
      <c r="C150" s="244"/>
      <c r="D150" s="244"/>
      <c r="E150" s="244"/>
      <c r="F150" s="244"/>
      <c r="G150" s="244"/>
      <c r="H150" s="244"/>
      <c r="I150" s="244"/>
      <c r="J150" s="244"/>
    </row>
    <row r="151" spans="1:10" x14ac:dyDescent="0.35">
      <c r="A151" s="280" t="s">
        <v>2037</v>
      </c>
      <c r="B151" s="244"/>
      <c r="C151" s="244"/>
      <c r="D151" s="244"/>
      <c r="E151" s="244"/>
      <c r="F151" s="244"/>
      <c r="G151" s="244"/>
      <c r="H151" s="244"/>
      <c r="I151" s="244"/>
      <c r="J151" s="244"/>
    </row>
    <row r="152" spans="1:10" x14ac:dyDescent="0.35">
      <c r="A152" t="s">
        <v>2021</v>
      </c>
      <c r="B152" t="s">
        <v>2022</v>
      </c>
      <c r="C152" s="223">
        <v>25000</v>
      </c>
      <c r="D152" t="s">
        <v>2023</v>
      </c>
      <c r="E152" t="s">
        <v>849</v>
      </c>
      <c r="F152" s="223">
        <v>3750</v>
      </c>
      <c r="G152" t="s">
        <v>2024</v>
      </c>
      <c r="H152" t="s">
        <v>2003</v>
      </c>
      <c r="I152" s="43">
        <v>0.6</v>
      </c>
    </row>
    <row r="153" spans="1:10" x14ac:dyDescent="0.35">
      <c r="A153" s="157" t="s">
        <v>361</v>
      </c>
      <c r="B153" s="157" t="s">
        <v>91</v>
      </c>
      <c r="C153" s="157" t="s">
        <v>2038</v>
      </c>
      <c r="D153" s="157" t="s">
        <v>89</v>
      </c>
      <c r="E153" s="157" t="s">
        <v>717</v>
      </c>
      <c r="F153" s="157" t="s">
        <v>2039</v>
      </c>
      <c r="G153" s="157" t="s">
        <v>2026</v>
      </c>
      <c r="H153" s="157" t="s">
        <v>362</v>
      </c>
      <c r="I153" s="226" t="s">
        <v>2040</v>
      </c>
    </row>
    <row r="154" spans="1:10" x14ac:dyDescent="0.35">
      <c r="A154" t="s">
        <v>2041</v>
      </c>
      <c r="B154" t="s">
        <v>2042</v>
      </c>
      <c r="C154" t="s">
        <v>2043</v>
      </c>
      <c r="D154" s="223">
        <v>59</v>
      </c>
      <c r="E154" s="223">
        <v>708</v>
      </c>
      <c r="F154" s="223">
        <v>11</v>
      </c>
      <c r="G154" s="223">
        <v>48</v>
      </c>
      <c r="H154" s="43">
        <v>0.81</v>
      </c>
      <c r="I154" t="s">
        <v>2044</v>
      </c>
    </row>
    <row r="155" spans="1:10" x14ac:dyDescent="0.35">
      <c r="A155" s="149" t="s">
        <v>2045</v>
      </c>
      <c r="B155" s="149" t="s">
        <v>2042</v>
      </c>
      <c r="C155" s="149" t="s">
        <v>2046</v>
      </c>
      <c r="D155" s="149" t="s">
        <v>2047</v>
      </c>
      <c r="E155" s="149" t="s">
        <v>2048</v>
      </c>
      <c r="F155" s="227">
        <v>25</v>
      </c>
      <c r="G155" s="149" t="s">
        <v>2049</v>
      </c>
      <c r="H155" s="149" t="s">
        <v>2050</v>
      </c>
      <c r="I155" s="149" t="s">
        <v>2051</v>
      </c>
      <c r="J155" s="149"/>
    </row>
    <row r="156" spans="1:10" x14ac:dyDescent="0.35">
      <c r="A156" s="157" t="s">
        <v>2052</v>
      </c>
      <c r="B156" s="157" t="s">
        <v>2053</v>
      </c>
      <c r="C156" s="157" t="s">
        <v>2054</v>
      </c>
      <c r="D156" s="157" t="s">
        <v>2055</v>
      </c>
      <c r="E156" s="157" t="s">
        <v>2056</v>
      </c>
      <c r="F156" s="228">
        <v>43</v>
      </c>
      <c r="G156" s="157" t="s">
        <v>2057</v>
      </c>
      <c r="H156" s="157" t="s">
        <v>2058</v>
      </c>
      <c r="I156" s="157" t="s">
        <v>2059</v>
      </c>
      <c r="J156" s="157"/>
    </row>
    <row r="157" spans="1:10" x14ac:dyDescent="0.35">
      <c r="A157" t="s">
        <v>2060</v>
      </c>
      <c r="B157" t="s">
        <v>2053</v>
      </c>
      <c r="C157" s="223" t="s">
        <v>2054</v>
      </c>
      <c r="D157" t="s">
        <v>2061</v>
      </c>
      <c r="E157" s="223" t="s">
        <v>2062</v>
      </c>
      <c r="F157" s="223">
        <v>43</v>
      </c>
      <c r="G157" t="s">
        <v>2063</v>
      </c>
      <c r="H157" t="s">
        <v>2064</v>
      </c>
      <c r="I157" t="s">
        <v>2059</v>
      </c>
    </row>
    <row r="158" spans="1:10" x14ac:dyDescent="0.35">
      <c r="A158" t="s">
        <v>2065</v>
      </c>
      <c r="B158" t="s">
        <v>2053</v>
      </c>
      <c r="C158" s="223" t="s">
        <v>2054</v>
      </c>
      <c r="D158" s="223" t="s">
        <v>2066</v>
      </c>
      <c r="E158" s="223" t="s">
        <v>2067</v>
      </c>
      <c r="F158" s="223">
        <v>43</v>
      </c>
      <c r="G158" t="s">
        <v>2068</v>
      </c>
      <c r="H158" t="s">
        <v>2069</v>
      </c>
      <c r="I158" t="s">
        <v>2070</v>
      </c>
    </row>
    <row r="159" spans="1:10" x14ac:dyDescent="0.35">
      <c r="A159" s="205" t="s">
        <v>373</v>
      </c>
      <c r="B159" s="205" t="s">
        <v>2053</v>
      </c>
      <c r="C159" s="224" t="s">
        <v>2054</v>
      </c>
      <c r="D159" s="205" t="s">
        <v>2071</v>
      </c>
      <c r="E159" s="224" t="s">
        <v>2072</v>
      </c>
      <c r="F159" s="224">
        <v>25</v>
      </c>
      <c r="G159" s="205" t="s">
        <v>2073</v>
      </c>
      <c r="H159" s="205" t="s">
        <v>2074</v>
      </c>
      <c r="I159" s="205" t="s">
        <v>373</v>
      </c>
      <c r="J159" s="205"/>
    </row>
    <row r="160" spans="1:10" x14ac:dyDescent="0.35">
      <c r="A160" t="s">
        <v>1967</v>
      </c>
      <c r="B160" t="s">
        <v>2053</v>
      </c>
      <c r="C160" s="223" t="s">
        <v>2075</v>
      </c>
      <c r="D160" t="s">
        <v>2076</v>
      </c>
      <c r="E160" s="223" t="s">
        <v>2077</v>
      </c>
      <c r="F160" s="223">
        <v>43</v>
      </c>
      <c r="G160" t="s">
        <v>2078</v>
      </c>
      <c r="H160" t="s">
        <v>2079</v>
      </c>
      <c r="I160" t="s">
        <v>1967</v>
      </c>
    </row>
    <row r="161" spans="1:10" x14ac:dyDescent="0.35">
      <c r="A161" t="s">
        <v>2080</v>
      </c>
      <c r="B161" t="s">
        <v>2053</v>
      </c>
      <c r="C161" t="s">
        <v>2081</v>
      </c>
      <c r="D161" t="s">
        <v>2082</v>
      </c>
      <c r="E161" t="s">
        <v>2083</v>
      </c>
      <c r="F161" s="223">
        <v>11</v>
      </c>
      <c r="G161" t="s">
        <v>2084</v>
      </c>
      <c r="H161" t="s">
        <v>2085</v>
      </c>
      <c r="I161" t="s">
        <v>2086</v>
      </c>
    </row>
    <row r="162" spans="1:10" x14ac:dyDescent="0.35">
      <c r="A162" t="s">
        <v>2087</v>
      </c>
      <c r="B162" t="s">
        <v>2053</v>
      </c>
      <c r="C162" t="s">
        <v>2088</v>
      </c>
      <c r="D162" t="s">
        <v>2066</v>
      </c>
      <c r="E162" t="s">
        <v>2067</v>
      </c>
      <c r="F162" s="223">
        <v>43</v>
      </c>
      <c r="G162" t="s">
        <v>2068</v>
      </c>
      <c r="H162" t="s">
        <v>2069</v>
      </c>
      <c r="I162" t="s">
        <v>2086</v>
      </c>
    </row>
    <row r="163" spans="1:10" x14ac:dyDescent="0.35">
      <c r="A163" s="149" t="s">
        <v>2089</v>
      </c>
      <c r="B163" s="149" t="s">
        <v>2053</v>
      </c>
      <c r="C163" s="149" t="s">
        <v>11</v>
      </c>
      <c r="D163" s="149" t="s">
        <v>2090</v>
      </c>
      <c r="E163" s="149" t="s">
        <v>2091</v>
      </c>
      <c r="F163" s="227">
        <v>90</v>
      </c>
      <c r="G163" s="149" t="s">
        <v>2092</v>
      </c>
      <c r="H163" s="149" t="s">
        <v>2093</v>
      </c>
      <c r="I163" s="149" t="s">
        <v>2086</v>
      </c>
      <c r="J163" s="149"/>
    </row>
    <row r="164" spans="1:10" x14ac:dyDescent="0.35">
      <c r="A164" s="157" t="s">
        <v>2027</v>
      </c>
      <c r="B164" s="157" t="s">
        <v>2028</v>
      </c>
      <c r="C164" s="157" t="s">
        <v>2029</v>
      </c>
      <c r="D164" s="157" t="s">
        <v>2030</v>
      </c>
      <c r="E164" s="157" t="s">
        <v>2031</v>
      </c>
      <c r="F164" s="157" t="s">
        <v>2032</v>
      </c>
      <c r="G164" s="157" t="s">
        <v>2033</v>
      </c>
      <c r="H164" s="157"/>
      <c r="I164" s="157"/>
      <c r="J164" s="157"/>
    </row>
    <row r="165" spans="1:10" x14ac:dyDescent="0.35">
      <c r="A165" s="281" t="s">
        <v>2094</v>
      </c>
      <c r="B165" s="244"/>
      <c r="C165" s="244"/>
      <c r="D165" s="244"/>
      <c r="E165" s="244"/>
      <c r="F165" s="244"/>
      <c r="G165" s="244"/>
      <c r="H165" s="244"/>
      <c r="I165" s="244"/>
    </row>
    <row r="166" spans="1:10" x14ac:dyDescent="0.35">
      <c r="A166" s="150" t="s">
        <v>2095</v>
      </c>
      <c r="B166" s="150" t="s">
        <v>2096</v>
      </c>
      <c r="C166" s="150" t="s">
        <v>2039</v>
      </c>
      <c r="D166" s="150" t="s">
        <v>2026</v>
      </c>
      <c r="E166" s="150" t="s">
        <v>362</v>
      </c>
      <c r="F166" s="150" t="s">
        <v>2097</v>
      </c>
      <c r="G166" s="150" t="s">
        <v>2098</v>
      </c>
      <c r="H166" s="150" t="s">
        <v>2099</v>
      </c>
      <c r="I166" s="150" t="s">
        <v>6</v>
      </c>
    </row>
    <row r="167" spans="1:10" x14ac:dyDescent="0.35">
      <c r="A167" t="s">
        <v>2100</v>
      </c>
      <c r="B167" t="s">
        <v>2101</v>
      </c>
      <c r="C167" s="223">
        <v>25</v>
      </c>
      <c r="D167" t="s">
        <v>2102</v>
      </c>
      <c r="E167" s="43">
        <v>0.93</v>
      </c>
      <c r="F167" t="s">
        <v>2103</v>
      </c>
      <c r="G167">
        <v>225</v>
      </c>
      <c r="H167" s="223">
        <v>67500</v>
      </c>
      <c r="I167" t="s">
        <v>2104</v>
      </c>
    </row>
    <row r="168" spans="1:10" x14ac:dyDescent="0.35">
      <c r="A168" t="s">
        <v>2105</v>
      </c>
      <c r="B168" t="s">
        <v>2055</v>
      </c>
      <c r="C168" s="223">
        <v>25</v>
      </c>
      <c r="D168" t="s">
        <v>2106</v>
      </c>
      <c r="E168" s="43">
        <v>0.92</v>
      </c>
      <c r="F168" t="s">
        <v>2107</v>
      </c>
      <c r="G168">
        <v>260</v>
      </c>
      <c r="H168" s="223">
        <v>78000</v>
      </c>
      <c r="I168" t="s">
        <v>2108</v>
      </c>
    </row>
    <row r="169" spans="1:10" x14ac:dyDescent="0.35">
      <c r="A169" t="s">
        <v>2109</v>
      </c>
      <c r="B169" t="s">
        <v>2066</v>
      </c>
      <c r="C169" s="223">
        <v>25</v>
      </c>
      <c r="D169" t="s">
        <v>2110</v>
      </c>
      <c r="E169" s="43">
        <v>0.88</v>
      </c>
      <c r="F169" t="s">
        <v>2111</v>
      </c>
      <c r="G169">
        <v>190</v>
      </c>
      <c r="H169" s="223">
        <v>57000</v>
      </c>
      <c r="I169" t="s">
        <v>2112</v>
      </c>
    </row>
    <row r="170" spans="1:10" x14ac:dyDescent="0.35">
      <c r="A170" s="149" t="s">
        <v>2113</v>
      </c>
      <c r="B170" s="149" t="s">
        <v>2061</v>
      </c>
      <c r="C170" s="227">
        <v>25</v>
      </c>
      <c r="D170" s="149" t="s">
        <v>2114</v>
      </c>
      <c r="E170" s="229">
        <v>0.9</v>
      </c>
      <c r="F170" s="149" t="s">
        <v>2115</v>
      </c>
      <c r="G170" s="149">
        <v>160</v>
      </c>
      <c r="H170" s="227">
        <v>48000</v>
      </c>
      <c r="I170" s="149" t="s">
        <v>2116</v>
      </c>
      <c r="J170" s="149"/>
    </row>
    <row r="171" spans="1:10" x14ac:dyDescent="0.35">
      <c r="A171" s="157" t="s">
        <v>2117</v>
      </c>
      <c r="B171" s="157" t="s">
        <v>2118</v>
      </c>
      <c r="C171" s="228">
        <v>25</v>
      </c>
      <c r="D171" s="157" t="s">
        <v>2119</v>
      </c>
      <c r="E171" s="226">
        <v>0.88</v>
      </c>
      <c r="F171" s="157" t="s">
        <v>2120</v>
      </c>
      <c r="G171" s="157">
        <v>140</v>
      </c>
      <c r="H171" s="228">
        <v>42000</v>
      </c>
      <c r="I171" s="157" t="s">
        <v>2121</v>
      </c>
      <c r="J171" s="157"/>
    </row>
    <row r="172" spans="1:10" x14ac:dyDescent="0.35">
      <c r="A172" t="s">
        <v>2122</v>
      </c>
      <c r="B172" t="s">
        <v>2123</v>
      </c>
      <c r="C172" s="223">
        <v>25</v>
      </c>
      <c r="D172" t="s">
        <v>2124</v>
      </c>
      <c r="E172" s="43">
        <v>0.86</v>
      </c>
      <c r="F172" t="s">
        <v>2125</v>
      </c>
      <c r="G172">
        <v>175</v>
      </c>
      <c r="H172" s="223">
        <v>52500</v>
      </c>
      <c r="I172" t="s">
        <v>2126</v>
      </c>
    </row>
    <row r="173" spans="1:10" x14ac:dyDescent="0.35">
      <c r="A173" t="s">
        <v>2127</v>
      </c>
      <c r="B173" t="s">
        <v>2128</v>
      </c>
      <c r="C173" s="223">
        <v>25</v>
      </c>
      <c r="D173" t="s">
        <v>2129</v>
      </c>
      <c r="E173" s="43">
        <v>0.89</v>
      </c>
      <c r="F173" t="s">
        <v>2130</v>
      </c>
      <c r="G173">
        <v>105</v>
      </c>
      <c r="H173" s="223">
        <v>31500</v>
      </c>
      <c r="I173" t="s">
        <v>2131</v>
      </c>
    </row>
    <row r="174" spans="1:10" x14ac:dyDescent="0.35">
      <c r="A174" t="s">
        <v>2132</v>
      </c>
      <c r="B174" t="s">
        <v>2133</v>
      </c>
      <c r="C174" s="223">
        <v>25</v>
      </c>
      <c r="D174" t="s">
        <v>2134</v>
      </c>
      <c r="E174" s="43">
        <v>0.91</v>
      </c>
      <c r="F174" t="s">
        <v>2135</v>
      </c>
      <c r="G174">
        <v>70</v>
      </c>
      <c r="H174" s="223">
        <v>21000</v>
      </c>
      <c r="I174" t="s">
        <v>27</v>
      </c>
    </row>
    <row r="175" spans="1:10" x14ac:dyDescent="0.35">
      <c r="A175" s="216" t="s">
        <v>2136</v>
      </c>
      <c r="B175" s="216" t="s">
        <v>2137</v>
      </c>
      <c r="C175" s="230">
        <v>25</v>
      </c>
      <c r="D175" s="216" t="s">
        <v>2114</v>
      </c>
      <c r="E175" s="216" t="s">
        <v>2138</v>
      </c>
      <c r="F175" s="216" t="s">
        <v>2139</v>
      </c>
      <c r="G175" s="231">
        <v>1325</v>
      </c>
      <c r="H175" s="230">
        <v>397500</v>
      </c>
      <c r="I175" s="216" t="s">
        <v>2140</v>
      </c>
    </row>
    <row r="176" spans="1:10" x14ac:dyDescent="0.35">
      <c r="A176" t="s">
        <v>2034</v>
      </c>
    </row>
    <row r="177" spans="1:10" x14ac:dyDescent="0.35">
      <c r="A177" s="241" t="s">
        <v>2141</v>
      </c>
      <c r="B177" s="244"/>
      <c r="C177" s="244"/>
      <c r="D177" s="244"/>
      <c r="E177" s="244"/>
      <c r="F177" s="244"/>
      <c r="G177" s="244"/>
    </row>
    <row r="178" spans="1:10" x14ac:dyDescent="0.35">
      <c r="A178" s="150" t="s">
        <v>2142</v>
      </c>
      <c r="B178" s="150" t="s">
        <v>2096</v>
      </c>
      <c r="C178" s="150" t="s">
        <v>2039</v>
      </c>
      <c r="D178" s="150" t="s">
        <v>2026</v>
      </c>
      <c r="E178" s="150" t="s">
        <v>2143</v>
      </c>
      <c r="F178" s="150" t="s">
        <v>2098</v>
      </c>
      <c r="G178" s="150" t="s">
        <v>2099</v>
      </c>
      <c r="H178" s="149"/>
      <c r="I178" s="149"/>
      <c r="J178" s="149"/>
    </row>
    <row r="179" spans="1:10" x14ac:dyDescent="0.35">
      <c r="A179" s="157" t="s">
        <v>136</v>
      </c>
      <c r="B179" s="157" t="s">
        <v>2144</v>
      </c>
      <c r="C179" s="157" t="s">
        <v>2025</v>
      </c>
      <c r="D179" s="157" t="s">
        <v>2145</v>
      </c>
      <c r="E179" s="157" t="s">
        <v>2146</v>
      </c>
      <c r="F179" s="157">
        <v>275</v>
      </c>
      <c r="G179" s="157" t="s">
        <v>2147</v>
      </c>
      <c r="H179" s="157"/>
      <c r="I179" s="157"/>
      <c r="J179" s="157"/>
    </row>
    <row r="180" spans="1:10" x14ac:dyDescent="0.35">
      <c r="A180" s="205" t="s">
        <v>2053</v>
      </c>
      <c r="B180" s="205" t="s">
        <v>2061</v>
      </c>
      <c r="C180" s="205" t="s">
        <v>2025</v>
      </c>
      <c r="D180" s="205" t="s">
        <v>2148</v>
      </c>
      <c r="E180" s="205" t="s">
        <v>2139</v>
      </c>
      <c r="F180" s="232">
        <v>1325</v>
      </c>
      <c r="G180" s="205" t="s">
        <v>2149</v>
      </c>
      <c r="H180" s="205"/>
      <c r="I180" s="205"/>
      <c r="J180" s="205"/>
    </row>
    <row r="181" spans="1:10" x14ac:dyDescent="0.35">
      <c r="A181" s="205" t="s">
        <v>2150</v>
      </c>
      <c r="B181" s="205" t="s">
        <v>2151</v>
      </c>
      <c r="C181" s="205" t="s">
        <v>2025</v>
      </c>
      <c r="D181" s="205" t="s">
        <v>2152</v>
      </c>
      <c r="E181" s="205" t="s">
        <v>2153</v>
      </c>
      <c r="F181" s="232">
        <v>1600</v>
      </c>
      <c r="G181" s="205" t="s">
        <v>2154</v>
      </c>
    </row>
    <row r="182" spans="1:10" x14ac:dyDescent="0.35">
      <c r="A182" t="s">
        <v>2035</v>
      </c>
    </row>
    <row r="184" spans="1:10" x14ac:dyDescent="0.35">
      <c r="A184" s="281" t="s">
        <v>2155</v>
      </c>
      <c r="B184" s="241"/>
      <c r="C184" s="241"/>
      <c r="D184" s="241"/>
      <c r="E184" s="241"/>
      <c r="F184" s="241"/>
      <c r="G184" s="241"/>
      <c r="H184" s="241"/>
      <c r="I184" s="241"/>
      <c r="J184" s="241"/>
    </row>
    <row r="185" spans="1:10" x14ac:dyDescent="0.35">
      <c r="A185" s="244" t="s">
        <v>2156</v>
      </c>
      <c r="B185" s="244"/>
      <c r="C185" s="244"/>
      <c r="D185" s="244"/>
      <c r="E185" s="244"/>
      <c r="F185" s="244"/>
      <c r="G185" s="244"/>
      <c r="H185" s="244"/>
      <c r="I185" s="244"/>
      <c r="J185" s="244"/>
    </row>
    <row r="186" spans="1:10" x14ac:dyDescent="0.35">
      <c r="A186" s="244" t="s">
        <v>2157</v>
      </c>
      <c r="B186" s="244"/>
      <c r="C186" s="244"/>
      <c r="D186" s="244"/>
      <c r="E186" s="244"/>
      <c r="F186" s="244"/>
      <c r="G186" s="244"/>
      <c r="H186" s="244"/>
      <c r="I186" s="244"/>
      <c r="J186" s="244"/>
    </row>
    <row r="187" spans="1:10" x14ac:dyDescent="0.35">
      <c r="A187" s="244" t="s">
        <v>2158</v>
      </c>
      <c r="B187" s="244"/>
      <c r="C187" s="244"/>
      <c r="D187" s="244"/>
      <c r="E187" s="244"/>
      <c r="F187" s="244"/>
      <c r="G187" s="244"/>
      <c r="H187" s="244"/>
      <c r="I187" s="244"/>
      <c r="J187" s="244"/>
    </row>
    <row r="188" spans="1:10" x14ac:dyDescent="0.35">
      <c r="A188" s="244" t="s">
        <v>2159</v>
      </c>
      <c r="B188" s="244"/>
      <c r="C188" s="244"/>
      <c r="D188" s="244"/>
      <c r="E188" s="244"/>
      <c r="F188" s="244"/>
      <c r="G188" s="244"/>
      <c r="H188" s="244"/>
      <c r="I188" s="244"/>
      <c r="J188" s="244"/>
    </row>
    <row r="189" spans="1:10" x14ac:dyDescent="0.35">
      <c r="A189" s="244" t="s">
        <v>2160</v>
      </c>
      <c r="B189" s="244"/>
      <c r="C189" s="244"/>
      <c r="D189" s="244"/>
      <c r="E189" s="244"/>
      <c r="F189" s="244"/>
      <c r="G189" s="244"/>
      <c r="H189" s="244"/>
      <c r="I189" s="244"/>
      <c r="J189" s="244"/>
    </row>
    <row r="190" spans="1:10" x14ac:dyDescent="0.35">
      <c r="A190" s="244" t="s">
        <v>2161</v>
      </c>
      <c r="B190" s="244"/>
      <c r="C190" s="244"/>
      <c r="D190" s="244"/>
      <c r="E190" s="244"/>
      <c r="F190" s="244"/>
      <c r="G190" s="244"/>
      <c r="H190" s="244"/>
      <c r="I190" s="244"/>
      <c r="J190" s="244"/>
    </row>
    <row r="191" spans="1:10" x14ac:dyDescent="0.35">
      <c r="A191" s="244" t="s">
        <v>2162</v>
      </c>
      <c r="B191" s="244"/>
      <c r="C191" s="244"/>
      <c r="D191" s="244"/>
      <c r="E191" s="244"/>
      <c r="F191" s="244"/>
      <c r="G191" s="244"/>
      <c r="H191" s="244"/>
      <c r="I191" s="244"/>
      <c r="J191" s="244"/>
    </row>
    <row r="192" spans="1:10" x14ac:dyDescent="0.35">
      <c r="A192" s="244" t="s">
        <v>2163</v>
      </c>
      <c r="B192" s="244"/>
      <c r="C192" s="244"/>
      <c r="D192" s="244"/>
      <c r="E192" s="244"/>
      <c r="F192" s="244"/>
      <c r="G192" s="244"/>
      <c r="H192" s="244"/>
      <c r="I192" s="244"/>
      <c r="J192" s="244"/>
    </row>
    <row r="194" spans="1:10" x14ac:dyDescent="0.35">
      <c r="A194" s="279" t="s">
        <v>2164</v>
      </c>
      <c r="B194" s="244"/>
      <c r="C194" s="244"/>
      <c r="D194" s="244"/>
      <c r="E194" s="244"/>
      <c r="F194" s="244"/>
      <c r="G194" s="244"/>
      <c r="H194" s="244"/>
      <c r="I194" s="244"/>
      <c r="J194" s="244"/>
    </row>
  </sheetData>
  <mergeCells count="40">
    <mergeCell ref="L5:N5"/>
    <mergeCell ref="A80:J80"/>
    <mergeCell ref="A110:J110"/>
    <mergeCell ref="A111:J111"/>
    <mergeCell ref="A112:J112"/>
    <mergeCell ref="A33:J33"/>
    <mergeCell ref="A45:J45"/>
    <mergeCell ref="A55:J55"/>
    <mergeCell ref="A62:J62"/>
    <mergeCell ref="A25:J25"/>
    <mergeCell ref="A113:J113"/>
    <mergeCell ref="A63:J63"/>
    <mergeCell ref="A72:J72"/>
    <mergeCell ref="A87:J87"/>
    <mergeCell ref="A96:J96"/>
    <mergeCell ref="A106:J106"/>
    <mergeCell ref="A107:J107"/>
    <mergeCell ref="A108:J108"/>
    <mergeCell ref="A109:J109"/>
    <mergeCell ref="A71:J71"/>
    <mergeCell ref="A78:J78"/>
    <mergeCell ref="A1:J1"/>
    <mergeCell ref="A2:J2"/>
    <mergeCell ref="A3:J3"/>
    <mergeCell ref="A5:J5"/>
    <mergeCell ref="A13:J13"/>
    <mergeCell ref="A187:J187"/>
    <mergeCell ref="A150:J150"/>
    <mergeCell ref="A151:J151"/>
    <mergeCell ref="A165:I165"/>
    <mergeCell ref="A177:G177"/>
    <mergeCell ref="A184:J184"/>
    <mergeCell ref="A185:J185"/>
    <mergeCell ref="A186:J186"/>
    <mergeCell ref="A194:J194"/>
    <mergeCell ref="A188:J188"/>
    <mergeCell ref="A189:J189"/>
    <mergeCell ref="A190:J190"/>
    <mergeCell ref="A191:J191"/>
    <mergeCell ref="A192:J1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BF99-484E-401A-AFC8-78411578FD0C}">
  <dimension ref="A1:K156"/>
  <sheetViews>
    <sheetView workbookViewId="0">
      <pane ySplit="6" topLeftCell="A104" activePane="bottomLeft" state="frozen"/>
      <selection pane="bottomLeft" activeCell="E25" sqref="E25"/>
    </sheetView>
  </sheetViews>
  <sheetFormatPr defaultRowHeight="14.5" x14ac:dyDescent="0.35"/>
  <cols>
    <col min="1" max="1" width="38.1796875" customWidth="1"/>
    <col min="2" max="2" width="18.1796875" customWidth="1"/>
    <col min="3" max="3" width="10.90625" customWidth="1"/>
    <col min="4" max="6" width="14.54296875" customWidth="1"/>
    <col min="7" max="7" width="16.36328125" customWidth="1"/>
    <col min="8" max="8" width="15.453125" customWidth="1"/>
    <col min="9" max="10" width="14.54296875" customWidth="1"/>
  </cols>
  <sheetData>
    <row r="1" spans="1:11" ht="35" customHeight="1" x14ac:dyDescent="0.7">
      <c r="A1" s="233" t="s">
        <v>1676</v>
      </c>
      <c r="B1" s="234"/>
      <c r="C1" s="234"/>
      <c r="D1" s="234"/>
      <c r="E1" s="234"/>
      <c r="F1" s="234"/>
      <c r="G1" s="234"/>
      <c r="H1" s="234"/>
      <c r="I1" s="234"/>
      <c r="J1" s="234"/>
      <c r="K1" s="222" t="s">
        <v>1619</v>
      </c>
    </row>
    <row r="2" spans="1:11" ht="20" customHeight="1" x14ac:dyDescent="0.35">
      <c r="A2" s="235" t="s">
        <v>1677</v>
      </c>
      <c r="B2" s="236"/>
      <c r="C2" s="236"/>
      <c r="D2" s="236"/>
      <c r="E2" s="236"/>
      <c r="F2" s="236"/>
      <c r="G2" s="236"/>
      <c r="H2" s="236"/>
      <c r="I2" s="236"/>
      <c r="J2" s="236"/>
    </row>
    <row r="3" spans="1:11" x14ac:dyDescent="0.35">
      <c r="H3" s="154" t="s">
        <v>858</v>
      </c>
      <c r="I3" s="154">
        <v>278</v>
      </c>
      <c r="J3" s="154" t="s">
        <v>586</v>
      </c>
    </row>
    <row r="5" spans="1:11" ht="16" x14ac:dyDescent="0.4">
      <c r="A5" s="253" t="s">
        <v>1686</v>
      </c>
      <c r="B5" s="241"/>
      <c r="C5" s="241"/>
      <c r="D5" s="241"/>
      <c r="E5" s="241"/>
      <c r="F5" s="241"/>
      <c r="G5" s="241"/>
      <c r="H5" s="241"/>
      <c r="I5" s="241"/>
      <c r="J5" s="241"/>
    </row>
    <row r="6" spans="1:11" x14ac:dyDescent="0.35">
      <c r="A6" s="178" t="s">
        <v>72</v>
      </c>
      <c r="B6" s="178" t="s">
        <v>73</v>
      </c>
      <c r="C6" s="178" t="s">
        <v>100</v>
      </c>
      <c r="D6" s="178" t="s">
        <v>881</v>
      </c>
      <c r="E6" s="178" t="s">
        <v>882</v>
      </c>
      <c r="F6" s="178" t="s">
        <v>883</v>
      </c>
      <c r="G6" s="178" t="s">
        <v>884</v>
      </c>
      <c r="H6" s="178" t="s">
        <v>886</v>
      </c>
      <c r="I6" s="178" t="s">
        <v>112</v>
      </c>
      <c r="J6" s="178" t="s">
        <v>9</v>
      </c>
    </row>
    <row r="7" spans="1:11" x14ac:dyDescent="0.35">
      <c r="A7" s="181" t="s">
        <v>863</v>
      </c>
      <c r="B7" s="181" t="s">
        <v>887</v>
      </c>
      <c r="C7" s="182">
        <v>5</v>
      </c>
      <c r="D7" s="183">
        <v>1390</v>
      </c>
      <c r="E7" s="181">
        <v>2</v>
      </c>
      <c r="F7" s="182">
        <v>10</v>
      </c>
      <c r="G7" s="183">
        <v>2780</v>
      </c>
      <c r="H7" s="181" t="s">
        <v>888</v>
      </c>
      <c r="I7" s="181" t="s">
        <v>889</v>
      </c>
      <c r="J7" s="181" t="s">
        <v>890</v>
      </c>
    </row>
    <row r="8" spans="1:11" x14ac:dyDescent="0.35">
      <c r="A8" s="181" t="s">
        <v>864</v>
      </c>
      <c r="B8" s="181" t="s">
        <v>887</v>
      </c>
      <c r="C8" s="182">
        <v>5</v>
      </c>
      <c r="D8" s="183">
        <v>1390</v>
      </c>
      <c r="E8" s="181">
        <v>1</v>
      </c>
      <c r="F8" s="182">
        <v>5</v>
      </c>
      <c r="G8" s="183">
        <v>1390</v>
      </c>
      <c r="H8" s="181" t="s">
        <v>888</v>
      </c>
      <c r="I8" s="181" t="s">
        <v>889</v>
      </c>
      <c r="J8" s="181" t="s">
        <v>891</v>
      </c>
    </row>
    <row r="9" spans="1:11" x14ac:dyDescent="0.35">
      <c r="A9" s="181" t="s">
        <v>885</v>
      </c>
      <c r="B9" s="181" t="s">
        <v>892</v>
      </c>
      <c r="C9" s="182">
        <v>5</v>
      </c>
      <c r="D9" s="183">
        <v>1390</v>
      </c>
      <c r="E9" s="181">
        <v>3</v>
      </c>
      <c r="F9" s="182">
        <v>15</v>
      </c>
      <c r="G9" s="183">
        <v>4170</v>
      </c>
      <c r="H9" s="181" t="s">
        <v>888</v>
      </c>
      <c r="I9" s="181" t="s">
        <v>893</v>
      </c>
      <c r="J9" s="181" t="s">
        <v>894</v>
      </c>
    </row>
    <row r="10" spans="1:11" x14ac:dyDescent="0.35">
      <c r="A10" s="181" t="s">
        <v>865</v>
      </c>
      <c r="B10" s="181" t="s">
        <v>887</v>
      </c>
      <c r="C10" s="182">
        <v>5</v>
      </c>
      <c r="D10" s="183">
        <v>1668</v>
      </c>
      <c r="E10" s="181">
        <v>3</v>
      </c>
      <c r="F10" s="182">
        <v>18</v>
      </c>
      <c r="G10" s="183">
        <v>5004</v>
      </c>
      <c r="H10" s="181" t="s">
        <v>888</v>
      </c>
      <c r="I10" s="181" t="s">
        <v>893</v>
      </c>
      <c r="J10" s="181" t="s">
        <v>250</v>
      </c>
    </row>
    <row r="11" spans="1:11" x14ac:dyDescent="0.35">
      <c r="A11" s="181" t="s">
        <v>866</v>
      </c>
      <c r="B11" s="181" t="s">
        <v>887</v>
      </c>
      <c r="C11" s="182">
        <v>5</v>
      </c>
      <c r="D11" s="183">
        <v>1668</v>
      </c>
      <c r="E11" s="181">
        <v>2</v>
      </c>
      <c r="F11" s="182">
        <v>12</v>
      </c>
      <c r="G11" s="183">
        <v>3336</v>
      </c>
      <c r="H11" s="181" t="s">
        <v>888</v>
      </c>
      <c r="I11" s="181" t="s">
        <v>889</v>
      </c>
      <c r="J11" s="181" t="s">
        <v>895</v>
      </c>
    </row>
    <row r="12" spans="1:11" x14ac:dyDescent="0.35">
      <c r="A12" s="181" t="s">
        <v>867</v>
      </c>
      <c r="B12" s="181" t="s">
        <v>892</v>
      </c>
      <c r="C12" s="182">
        <v>5</v>
      </c>
      <c r="D12" s="183">
        <v>1390</v>
      </c>
      <c r="E12" s="181">
        <v>2</v>
      </c>
      <c r="F12" s="182">
        <v>10</v>
      </c>
      <c r="G12" s="183">
        <v>2780</v>
      </c>
      <c r="H12" s="181" t="s">
        <v>888</v>
      </c>
      <c r="I12" s="181" t="s">
        <v>889</v>
      </c>
      <c r="J12" s="181" t="s">
        <v>896</v>
      </c>
    </row>
    <row r="13" spans="1:11" x14ac:dyDescent="0.35">
      <c r="A13" s="181" t="s">
        <v>868</v>
      </c>
      <c r="B13" s="181" t="s">
        <v>887</v>
      </c>
      <c r="C13" s="182">
        <v>5</v>
      </c>
      <c r="D13" s="183">
        <v>1668</v>
      </c>
      <c r="E13" s="181">
        <v>1</v>
      </c>
      <c r="F13" s="182">
        <v>6</v>
      </c>
      <c r="G13" s="183">
        <v>1668</v>
      </c>
      <c r="H13" s="181" t="s">
        <v>888</v>
      </c>
      <c r="I13" s="181" t="s">
        <v>889</v>
      </c>
      <c r="J13" s="181" t="s">
        <v>897</v>
      </c>
    </row>
    <row r="14" spans="1:11" x14ac:dyDescent="0.35">
      <c r="A14" s="181" t="s">
        <v>898</v>
      </c>
      <c r="B14" s="181" t="s">
        <v>887</v>
      </c>
      <c r="C14" s="182">
        <v>6</v>
      </c>
      <c r="D14" s="183">
        <v>1946</v>
      </c>
      <c r="E14" s="181">
        <v>4</v>
      </c>
      <c r="F14" s="182">
        <v>28</v>
      </c>
      <c r="G14" s="183">
        <v>7784</v>
      </c>
      <c r="H14" s="181" t="s">
        <v>899</v>
      </c>
      <c r="I14" s="181" t="s">
        <v>900</v>
      </c>
      <c r="J14" s="181" t="s">
        <v>901</v>
      </c>
    </row>
    <row r="15" spans="1:11" x14ac:dyDescent="0.35">
      <c r="A15" s="181" t="s">
        <v>862</v>
      </c>
      <c r="B15" s="181" t="s">
        <v>887</v>
      </c>
      <c r="C15" s="182">
        <v>6</v>
      </c>
      <c r="D15" s="183">
        <v>1946</v>
      </c>
      <c r="E15" s="181">
        <v>4</v>
      </c>
      <c r="F15" s="182">
        <v>28</v>
      </c>
      <c r="G15" s="183">
        <v>7784</v>
      </c>
      <c r="H15" s="181" t="s">
        <v>899</v>
      </c>
      <c r="I15" s="181" t="s">
        <v>900</v>
      </c>
      <c r="J15" s="181" t="s">
        <v>902</v>
      </c>
    </row>
    <row r="16" spans="1:11" x14ac:dyDescent="0.35">
      <c r="A16" s="181" t="s">
        <v>861</v>
      </c>
      <c r="B16" s="181" t="s">
        <v>887</v>
      </c>
      <c r="C16" s="182">
        <v>5</v>
      </c>
      <c r="D16" s="183">
        <v>1668</v>
      </c>
      <c r="E16" s="181">
        <v>2</v>
      </c>
      <c r="F16" s="182">
        <v>12</v>
      </c>
      <c r="G16" s="183">
        <v>3336</v>
      </c>
      <c r="H16" s="181" t="s">
        <v>888</v>
      </c>
      <c r="I16" s="181" t="s">
        <v>893</v>
      </c>
      <c r="J16" s="181" t="s">
        <v>903</v>
      </c>
    </row>
    <row r="17" spans="1:10" x14ac:dyDescent="0.35">
      <c r="C17" s="20"/>
      <c r="F17" s="20"/>
      <c r="G17" s="4"/>
    </row>
    <row r="18" spans="1:10" ht="16" x14ac:dyDescent="0.4">
      <c r="A18" s="253" t="s">
        <v>1687</v>
      </c>
      <c r="B18" s="241"/>
      <c r="C18" s="251"/>
      <c r="D18" s="241"/>
      <c r="E18" s="241"/>
      <c r="F18" s="251"/>
      <c r="G18" s="291"/>
      <c r="H18" s="241"/>
      <c r="I18" s="241"/>
      <c r="J18" s="241"/>
    </row>
    <row r="19" spans="1:10" x14ac:dyDescent="0.35">
      <c r="A19" s="178" t="s">
        <v>72</v>
      </c>
      <c r="B19" s="178" t="s">
        <v>73</v>
      </c>
      <c r="C19" s="179" t="s">
        <v>100</v>
      </c>
      <c r="D19" s="178" t="s">
        <v>881</v>
      </c>
      <c r="E19" s="178" t="s">
        <v>882</v>
      </c>
      <c r="F19" s="179" t="s">
        <v>883</v>
      </c>
      <c r="G19" s="180" t="s">
        <v>884</v>
      </c>
      <c r="H19" s="178" t="s">
        <v>886</v>
      </c>
      <c r="I19" s="178" t="s">
        <v>112</v>
      </c>
      <c r="J19" s="178" t="s">
        <v>9</v>
      </c>
    </row>
    <row r="20" spans="1:10" x14ac:dyDescent="0.35">
      <c r="A20" s="184" t="s">
        <v>904</v>
      </c>
      <c r="B20" s="184" t="s">
        <v>887</v>
      </c>
      <c r="C20" s="185">
        <v>8</v>
      </c>
      <c r="D20" s="186">
        <v>2780</v>
      </c>
      <c r="E20" s="184">
        <v>8</v>
      </c>
      <c r="F20" s="185">
        <v>80</v>
      </c>
      <c r="G20" s="186">
        <v>22240</v>
      </c>
      <c r="H20" s="184" t="s">
        <v>13</v>
      </c>
      <c r="I20" s="184" t="s">
        <v>905</v>
      </c>
      <c r="J20" s="184" t="s">
        <v>906</v>
      </c>
    </row>
    <row r="21" spans="1:10" x14ac:dyDescent="0.35">
      <c r="A21" s="184" t="s">
        <v>860</v>
      </c>
      <c r="B21" s="184" t="s">
        <v>887</v>
      </c>
      <c r="C21" s="185">
        <v>8</v>
      </c>
      <c r="D21" s="186">
        <v>2780</v>
      </c>
      <c r="E21" s="184">
        <v>15</v>
      </c>
      <c r="F21" s="185">
        <v>150</v>
      </c>
      <c r="G21" s="186">
        <v>41700</v>
      </c>
      <c r="H21" s="184" t="s">
        <v>13</v>
      </c>
      <c r="I21" s="184" t="s">
        <v>907</v>
      </c>
      <c r="J21" s="184" t="s">
        <v>747</v>
      </c>
    </row>
    <row r="22" spans="1:10" x14ac:dyDescent="0.35">
      <c r="A22" s="184" t="s">
        <v>908</v>
      </c>
      <c r="B22" s="184" t="s">
        <v>887</v>
      </c>
      <c r="C22" s="185">
        <v>7</v>
      </c>
      <c r="D22" s="186">
        <v>2224</v>
      </c>
      <c r="E22" s="184">
        <v>5</v>
      </c>
      <c r="F22" s="185">
        <v>40</v>
      </c>
      <c r="G22" s="186">
        <v>11120</v>
      </c>
      <c r="H22" s="184" t="s">
        <v>13</v>
      </c>
      <c r="I22" s="184" t="s">
        <v>900</v>
      </c>
      <c r="J22" s="184" t="s">
        <v>250</v>
      </c>
    </row>
    <row r="23" spans="1:10" x14ac:dyDescent="0.35">
      <c r="A23" s="184" t="s">
        <v>871</v>
      </c>
      <c r="B23" s="184" t="s">
        <v>887</v>
      </c>
      <c r="C23" s="185">
        <v>7</v>
      </c>
      <c r="D23" s="186">
        <v>2224</v>
      </c>
      <c r="E23" s="184">
        <v>8</v>
      </c>
      <c r="F23" s="185">
        <v>64</v>
      </c>
      <c r="G23" s="186">
        <v>17792</v>
      </c>
      <c r="H23" s="184" t="s">
        <v>13</v>
      </c>
      <c r="I23" s="184" t="s">
        <v>905</v>
      </c>
      <c r="J23" s="184" t="s">
        <v>909</v>
      </c>
    </row>
    <row r="24" spans="1:10" x14ac:dyDescent="0.35">
      <c r="A24" s="184" t="s">
        <v>910</v>
      </c>
      <c r="B24" s="184" t="s">
        <v>753</v>
      </c>
      <c r="C24" s="185">
        <v>8</v>
      </c>
      <c r="D24" s="186">
        <v>2780</v>
      </c>
      <c r="E24" s="184">
        <v>10</v>
      </c>
      <c r="F24" s="185">
        <v>100</v>
      </c>
      <c r="G24" s="186">
        <v>27800</v>
      </c>
      <c r="H24" s="184" t="s">
        <v>13</v>
      </c>
      <c r="I24" s="184" t="s">
        <v>905</v>
      </c>
      <c r="J24" s="184" t="s">
        <v>911</v>
      </c>
    </row>
    <row r="25" spans="1:10" x14ac:dyDescent="0.35">
      <c r="A25" s="184" t="s">
        <v>912</v>
      </c>
      <c r="B25" s="184" t="s">
        <v>753</v>
      </c>
      <c r="C25" s="185">
        <v>8</v>
      </c>
      <c r="D25" s="186">
        <v>2780</v>
      </c>
      <c r="E25" s="184">
        <v>8</v>
      </c>
      <c r="F25" s="185">
        <v>80</v>
      </c>
      <c r="G25" s="186">
        <v>22240</v>
      </c>
      <c r="H25" s="184" t="s">
        <v>13</v>
      </c>
      <c r="I25" s="184" t="s">
        <v>900</v>
      </c>
      <c r="J25" s="184" t="s">
        <v>913</v>
      </c>
    </row>
    <row r="26" spans="1:10" x14ac:dyDescent="0.35">
      <c r="A26" s="184" t="s">
        <v>914</v>
      </c>
      <c r="B26" s="184" t="s">
        <v>887</v>
      </c>
      <c r="C26" s="185">
        <v>8</v>
      </c>
      <c r="D26" s="186">
        <v>2502</v>
      </c>
      <c r="E26" s="184">
        <v>4</v>
      </c>
      <c r="F26" s="185">
        <v>36</v>
      </c>
      <c r="G26" s="186">
        <v>10008</v>
      </c>
      <c r="H26" s="184" t="s">
        <v>13</v>
      </c>
      <c r="I26" s="184" t="s">
        <v>900</v>
      </c>
      <c r="J26" s="184" t="s">
        <v>915</v>
      </c>
    </row>
    <row r="27" spans="1:10" x14ac:dyDescent="0.35">
      <c r="A27" s="184" t="s">
        <v>916</v>
      </c>
      <c r="B27" s="184" t="s">
        <v>887</v>
      </c>
      <c r="C27" s="185">
        <v>7</v>
      </c>
      <c r="D27" s="186">
        <v>2502</v>
      </c>
      <c r="E27" s="184">
        <v>5</v>
      </c>
      <c r="F27" s="185">
        <v>45</v>
      </c>
      <c r="G27" s="186">
        <v>12510</v>
      </c>
      <c r="H27" s="184" t="s">
        <v>13</v>
      </c>
      <c r="I27" s="184" t="s">
        <v>900</v>
      </c>
      <c r="J27" s="184" t="s">
        <v>917</v>
      </c>
    </row>
    <row r="28" spans="1:10" x14ac:dyDescent="0.35">
      <c r="A28" s="184" t="s">
        <v>918</v>
      </c>
      <c r="B28" s="184" t="s">
        <v>753</v>
      </c>
      <c r="C28" s="185">
        <v>8</v>
      </c>
      <c r="D28" s="186">
        <v>2780</v>
      </c>
      <c r="E28" s="184">
        <v>6</v>
      </c>
      <c r="F28" s="185">
        <v>60</v>
      </c>
      <c r="G28" s="186">
        <v>16680</v>
      </c>
      <c r="H28" s="184" t="s">
        <v>13</v>
      </c>
      <c r="I28" s="184" t="s">
        <v>900</v>
      </c>
      <c r="J28" s="184" t="s">
        <v>919</v>
      </c>
    </row>
    <row r="29" spans="1:10" x14ac:dyDescent="0.35">
      <c r="A29" s="184" t="s">
        <v>920</v>
      </c>
      <c r="B29" s="184" t="s">
        <v>753</v>
      </c>
      <c r="C29" s="185">
        <v>7</v>
      </c>
      <c r="D29" s="186">
        <v>2502</v>
      </c>
      <c r="E29" s="184">
        <v>6</v>
      </c>
      <c r="F29" s="185">
        <v>54</v>
      </c>
      <c r="G29" s="186">
        <v>15012</v>
      </c>
      <c r="H29" s="184" t="s">
        <v>13</v>
      </c>
      <c r="I29" s="184" t="s">
        <v>900</v>
      </c>
      <c r="J29" s="184" t="s">
        <v>921</v>
      </c>
    </row>
    <row r="30" spans="1:10" x14ac:dyDescent="0.35">
      <c r="C30" s="20"/>
      <c r="F30" s="20"/>
      <c r="G30" s="4"/>
    </row>
    <row r="31" spans="1:10" ht="16" x14ac:dyDescent="0.4">
      <c r="A31" s="253" t="s">
        <v>1688</v>
      </c>
      <c r="B31" s="241"/>
      <c r="C31" s="251"/>
      <c r="D31" s="241"/>
      <c r="E31" s="241"/>
      <c r="F31" s="251"/>
      <c r="G31" s="291"/>
      <c r="H31" s="241"/>
      <c r="I31" s="241"/>
      <c r="J31" s="241"/>
    </row>
    <row r="32" spans="1:10" x14ac:dyDescent="0.35">
      <c r="A32" s="178" t="s">
        <v>72</v>
      </c>
      <c r="B32" s="178" t="s">
        <v>73</v>
      </c>
      <c r="C32" s="179" t="s">
        <v>100</v>
      </c>
      <c r="D32" s="178" t="s">
        <v>881</v>
      </c>
      <c r="E32" s="178" t="s">
        <v>882</v>
      </c>
      <c r="F32" s="179" t="s">
        <v>883</v>
      </c>
      <c r="G32" s="180" t="s">
        <v>884</v>
      </c>
      <c r="H32" s="178" t="s">
        <v>886</v>
      </c>
      <c r="I32" s="178" t="s">
        <v>112</v>
      </c>
      <c r="J32" s="178" t="s">
        <v>9</v>
      </c>
    </row>
    <row r="33" spans="1:10" x14ac:dyDescent="0.35">
      <c r="A33" s="187" t="s">
        <v>922</v>
      </c>
      <c r="B33" s="187" t="s">
        <v>753</v>
      </c>
      <c r="C33" s="188">
        <v>10</v>
      </c>
      <c r="D33" s="189">
        <v>3336</v>
      </c>
      <c r="E33" s="187">
        <v>40</v>
      </c>
      <c r="F33" s="188">
        <v>480</v>
      </c>
      <c r="G33" s="189">
        <v>133440</v>
      </c>
      <c r="H33" s="187" t="s">
        <v>1</v>
      </c>
      <c r="I33" s="187" t="s">
        <v>923</v>
      </c>
      <c r="J33" s="187" t="s">
        <v>856</v>
      </c>
    </row>
    <row r="34" spans="1:10" x14ac:dyDescent="0.35">
      <c r="A34" s="187" t="s">
        <v>924</v>
      </c>
      <c r="B34" s="187" t="s">
        <v>753</v>
      </c>
      <c r="C34" s="188">
        <v>11</v>
      </c>
      <c r="D34" s="189">
        <v>3614</v>
      </c>
      <c r="E34" s="187">
        <v>50</v>
      </c>
      <c r="F34" s="188">
        <v>650</v>
      </c>
      <c r="G34" s="189">
        <v>180700</v>
      </c>
      <c r="H34" s="187" t="s">
        <v>1</v>
      </c>
      <c r="I34" s="187" t="s">
        <v>925</v>
      </c>
      <c r="J34" s="187" t="s">
        <v>926</v>
      </c>
    </row>
    <row r="35" spans="1:10" x14ac:dyDescent="0.35">
      <c r="A35" s="187" t="s">
        <v>927</v>
      </c>
      <c r="B35" s="187" t="s">
        <v>753</v>
      </c>
      <c r="C35" s="188">
        <v>10</v>
      </c>
      <c r="D35" s="189">
        <v>3336</v>
      </c>
      <c r="E35" s="187">
        <v>25</v>
      </c>
      <c r="F35" s="188">
        <v>300</v>
      </c>
      <c r="G35" s="189">
        <v>83400</v>
      </c>
      <c r="H35" s="187" t="s">
        <v>1</v>
      </c>
      <c r="I35" s="187" t="s">
        <v>928</v>
      </c>
      <c r="J35" s="187" t="s">
        <v>929</v>
      </c>
    </row>
    <row r="36" spans="1:10" x14ac:dyDescent="0.35">
      <c r="A36" s="187" t="s">
        <v>118</v>
      </c>
      <c r="B36" s="187" t="s">
        <v>887</v>
      </c>
      <c r="C36" s="188">
        <v>9</v>
      </c>
      <c r="D36" s="189">
        <v>3058</v>
      </c>
      <c r="E36" s="187">
        <v>10</v>
      </c>
      <c r="F36" s="188">
        <v>110</v>
      </c>
      <c r="G36" s="189">
        <v>30580</v>
      </c>
      <c r="H36" s="187" t="s">
        <v>1</v>
      </c>
      <c r="I36" s="187" t="s">
        <v>907</v>
      </c>
      <c r="J36" s="187" t="s">
        <v>930</v>
      </c>
    </row>
    <row r="37" spans="1:10" x14ac:dyDescent="0.35">
      <c r="A37" s="187" t="s">
        <v>931</v>
      </c>
      <c r="B37" s="187" t="s">
        <v>753</v>
      </c>
      <c r="C37" s="188">
        <v>9</v>
      </c>
      <c r="D37" s="189">
        <v>3058</v>
      </c>
      <c r="E37" s="187">
        <v>15</v>
      </c>
      <c r="F37" s="188">
        <v>165</v>
      </c>
      <c r="G37" s="189">
        <v>45870</v>
      </c>
      <c r="H37" s="187" t="s">
        <v>1</v>
      </c>
      <c r="I37" s="187" t="s">
        <v>932</v>
      </c>
      <c r="J37" s="187" t="s">
        <v>933</v>
      </c>
    </row>
    <row r="38" spans="1:10" x14ac:dyDescent="0.35">
      <c r="A38" s="187" t="s">
        <v>934</v>
      </c>
      <c r="B38" s="187" t="s">
        <v>753</v>
      </c>
      <c r="C38" s="188">
        <v>10</v>
      </c>
      <c r="D38" s="189">
        <v>3336</v>
      </c>
      <c r="E38" s="187">
        <v>20</v>
      </c>
      <c r="F38" s="188">
        <v>240</v>
      </c>
      <c r="G38" s="189">
        <v>66720</v>
      </c>
      <c r="H38" s="187" t="s">
        <v>1</v>
      </c>
      <c r="I38" s="187" t="s">
        <v>928</v>
      </c>
      <c r="J38" s="187" t="s">
        <v>935</v>
      </c>
    </row>
    <row r="39" spans="1:10" x14ac:dyDescent="0.35">
      <c r="A39" s="187" t="s">
        <v>936</v>
      </c>
      <c r="B39" s="187" t="s">
        <v>753</v>
      </c>
      <c r="C39" s="188">
        <v>11</v>
      </c>
      <c r="D39" s="189">
        <v>3614</v>
      </c>
      <c r="E39" s="187">
        <v>15</v>
      </c>
      <c r="F39" s="188">
        <v>195</v>
      </c>
      <c r="G39" s="189">
        <v>54210</v>
      </c>
      <c r="H39" s="187" t="s">
        <v>1</v>
      </c>
      <c r="I39" s="187" t="s">
        <v>907</v>
      </c>
      <c r="J39" s="187" t="s">
        <v>921</v>
      </c>
    </row>
    <row r="40" spans="1:10" x14ac:dyDescent="0.35">
      <c r="A40" s="187" t="s">
        <v>937</v>
      </c>
      <c r="B40" s="187" t="s">
        <v>887</v>
      </c>
      <c r="C40" s="188">
        <v>9</v>
      </c>
      <c r="D40" s="189">
        <v>3058</v>
      </c>
      <c r="E40" s="187">
        <v>12</v>
      </c>
      <c r="F40" s="188">
        <v>132</v>
      </c>
      <c r="G40" s="189">
        <v>36696</v>
      </c>
      <c r="H40" s="187" t="s">
        <v>1</v>
      </c>
      <c r="I40" s="187" t="s">
        <v>907</v>
      </c>
      <c r="J40" s="187" t="s">
        <v>938</v>
      </c>
    </row>
    <row r="41" spans="1:10" x14ac:dyDescent="0.35">
      <c r="A41" s="187" t="s">
        <v>939</v>
      </c>
      <c r="B41" s="187" t="s">
        <v>887</v>
      </c>
      <c r="C41" s="188">
        <v>10</v>
      </c>
      <c r="D41" s="189">
        <v>3336</v>
      </c>
      <c r="E41" s="187">
        <v>20</v>
      </c>
      <c r="F41" s="188">
        <v>240</v>
      </c>
      <c r="G41" s="189">
        <v>66720</v>
      </c>
      <c r="H41" s="187" t="s">
        <v>1</v>
      </c>
      <c r="I41" s="187" t="s">
        <v>928</v>
      </c>
      <c r="J41" s="187" t="s">
        <v>857</v>
      </c>
    </row>
    <row r="42" spans="1:10" x14ac:dyDescent="0.35">
      <c r="A42" s="187" t="s">
        <v>940</v>
      </c>
      <c r="B42" s="187" t="s">
        <v>753</v>
      </c>
      <c r="C42" s="188">
        <v>11</v>
      </c>
      <c r="D42" s="189">
        <v>3614</v>
      </c>
      <c r="E42" s="187">
        <v>20</v>
      </c>
      <c r="F42" s="188">
        <v>260</v>
      </c>
      <c r="G42" s="189">
        <v>72280</v>
      </c>
      <c r="H42" s="187" t="s">
        <v>1</v>
      </c>
      <c r="I42" s="187" t="s">
        <v>928</v>
      </c>
      <c r="J42" s="187" t="s">
        <v>941</v>
      </c>
    </row>
    <row r="43" spans="1:10" x14ac:dyDescent="0.35">
      <c r="C43" s="20"/>
      <c r="F43" s="20"/>
      <c r="G43" s="4"/>
    </row>
    <row r="44" spans="1:10" ht="16" x14ac:dyDescent="0.4">
      <c r="A44" s="253" t="s">
        <v>1689</v>
      </c>
      <c r="B44" s="241"/>
      <c r="C44" s="251"/>
      <c r="D44" s="241"/>
      <c r="E44" s="241"/>
      <c r="F44" s="251"/>
      <c r="G44" s="291"/>
      <c r="H44" s="241"/>
      <c r="I44" s="241"/>
      <c r="J44" s="241"/>
    </row>
    <row r="45" spans="1:10" x14ac:dyDescent="0.35">
      <c r="A45" s="178" t="s">
        <v>72</v>
      </c>
      <c r="B45" s="178" t="s">
        <v>73</v>
      </c>
      <c r="C45" s="179" t="s">
        <v>100</v>
      </c>
      <c r="D45" s="178" t="s">
        <v>881</v>
      </c>
      <c r="E45" s="178" t="s">
        <v>882</v>
      </c>
      <c r="F45" s="179" t="s">
        <v>883</v>
      </c>
      <c r="G45" s="180" t="s">
        <v>884</v>
      </c>
      <c r="H45" s="178" t="s">
        <v>886</v>
      </c>
      <c r="I45" s="178" t="s">
        <v>112</v>
      </c>
      <c r="J45" s="178" t="s">
        <v>9</v>
      </c>
    </row>
    <row r="46" spans="1:10" x14ac:dyDescent="0.35">
      <c r="A46" s="190" t="s">
        <v>859</v>
      </c>
      <c r="B46" s="190" t="s">
        <v>753</v>
      </c>
      <c r="C46" s="191">
        <v>12</v>
      </c>
      <c r="D46" s="192">
        <v>4170</v>
      </c>
      <c r="E46" s="190">
        <v>100</v>
      </c>
      <c r="F46" s="191">
        <v>1500</v>
      </c>
      <c r="G46" s="192">
        <v>417000</v>
      </c>
      <c r="H46" s="190" t="s">
        <v>880</v>
      </c>
      <c r="I46" s="190" t="s">
        <v>942</v>
      </c>
      <c r="J46" s="190" t="s">
        <v>747</v>
      </c>
    </row>
    <row r="47" spans="1:10" x14ac:dyDescent="0.35">
      <c r="A47" s="190" t="s">
        <v>943</v>
      </c>
      <c r="B47" s="190" t="s">
        <v>753</v>
      </c>
      <c r="C47" s="191">
        <v>12</v>
      </c>
      <c r="D47" s="192">
        <v>4170</v>
      </c>
      <c r="E47" s="190">
        <v>150</v>
      </c>
      <c r="F47" s="191">
        <v>2250</v>
      </c>
      <c r="G47" s="192">
        <v>625500</v>
      </c>
      <c r="H47" s="190" t="s">
        <v>880</v>
      </c>
      <c r="I47" s="190" t="s">
        <v>944</v>
      </c>
      <c r="J47" s="190" t="s">
        <v>945</v>
      </c>
    </row>
    <row r="48" spans="1:10" x14ac:dyDescent="0.35">
      <c r="A48" s="190" t="s">
        <v>78</v>
      </c>
      <c r="B48" s="190" t="s">
        <v>753</v>
      </c>
      <c r="C48" s="191">
        <v>15</v>
      </c>
      <c r="D48" s="192">
        <v>4170</v>
      </c>
      <c r="E48" s="190">
        <v>80</v>
      </c>
      <c r="F48" s="191">
        <v>1200</v>
      </c>
      <c r="G48" s="192">
        <v>333600</v>
      </c>
      <c r="H48" s="190" t="s">
        <v>880</v>
      </c>
      <c r="I48" s="190" t="s">
        <v>946</v>
      </c>
      <c r="J48" s="190" t="s">
        <v>947</v>
      </c>
    </row>
    <row r="49" spans="1:10" x14ac:dyDescent="0.35">
      <c r="A49" s="190" t="s">
        <v>870</v>
      </c>
      <c r="B49" s="190" t="s">
        <v>753</v>
      </c>
      <c r="C49" s="191">
        <v>15</v>
      </c>
      <c r="D49" s="192">
        <v>4170</v>
      </c>
      <c r="E49" s="190">
        <v>200</v>
      </c>
      <c r="F49" s="191">
        <v>3000</v>
      </c>
      <c r="G49" s="192">
        <v>834000</v>
      </c>
      <c r="H49" s="190" t="s">
        <v>880</v>
      </c>
      <c r="I49" s="190" t="s">
        <v>948</v>
      </c>
      <c r="J49" s="190" t="s">
        <v>945</v>
      </c>
    </row>
    <row r="50" spans="1:10" x14ac:dyDescent="0.35">
      <c r="A50" s="190" t="s">
        <v>869</v>
      </c>
      <c r="B50" s="190" t="s">
        <v>753</v>
      </c>
      <c r="C50" s="191">
        <v>12</v>
      </c>
      <c r="D50" s="192">
        <v>4170</v>
      </c>
      <c r="E50" s="190">
        <v>40</v>
      </c>
      <c r="F50" s="191">
        <v>600</v>
      </c>
      <c r="G50" s="192">
        <v>166800</v>
      </c>
      <c r="H50" s="190" t="s">
        <v>880</v>
      </c>
      <c r="I50" s="190" t="s">
        <v>923</v>
      </c>
      <c r="J50" s="190" t="s">
        <v>11</v>
      </c>
    </row>
    <row r="51" spans="1:10" x14ac:dyDescent="0.35">
      <c r="A51" s="190" t="s">
        <v>949</v>
      </c>
      <c r="B51" s="190" t="s">
        <v>753</v>
      </c>
      <c r="C51" s="191">
        <v>12</v>
      </c>
      <c r="D51" s="192">
        <v>3892</v>
      </c>
      <c r="E51" s="190">
        <v>30</v>
      </c>
      <c r="F51" s="191">
        <v>420</v>
      </c>
      <c r="G51" s="192">
        <v>116760</v>
      </c>
      <c r="H51" s="190" t="s">
        <v>880</v>
      </c>
      <c r="I51" s="190" t="s">
        <v>928</v>
      </c>
      <c r="J51" s="190" t="s">
        <v>950</v>
      </c>
    </row>
    <row r="52" spans="1:10" x14ac:dyDescent="0.35">
      <c r="A52" s="190" t="s">
        <v>951</v>
      </c>
      <c r="B52" s="190" t="s">
        <v>753</v>
      </c>
      <c r="C52" s="191">
        <v>12</v>
      </c>
      <c r="D52" s="192">
        <v>4170</v>
      </c>
      <c r="E52" s="190">
        <v>120</v>
      </c>
      <c r="F52" s="191">
        <v>1800</v>
      </c>
      <c r="G52" s="192">
        <v>500400</v>
      </c>
      <c r="H52" s="190" t="s">
        <v>880</v>
      </c>
      <c r="I52" s="190" t="s">
        <v>952</v>
      </c>
      <c r="J52" s="190" t="s">
        <v>749</v>
      </c>
    </row>
    <row r="53" spans="1:10" x14ac:dyDescent="0.35">
      <c r="A53" s="190" t="s">
        <v>953</v>
      </c>
      <c r="B53" s="190" t="s">
        <v>753</v>
      </c>
      <c r="C53" s="191">
        <v>12</v>
      </c>
      <c r="D53" s="192">
        <v>3892</v>
      </c>
      <c r="E53" s="190">
        <v>60</v>
      </c>
      <c r="F53" s="191">
        <v>840</v>
      </c>
      <c r="G53" s="192">
        <v>233520</v>
      </c>
      <c r="H53" s="190" t="s">
        <v>880</v>
      </c>
      <c r="I53" s="190" t="s">
        <v>946</v>
      </c>
      <c r="J53" s="190" t="s">
        <v>954</v>
      </c>
    </row>
    <row r="54" spans="1:10" x14ac:dyDescent="0.35">
      <c r="A54" s="190" t="s">
        <v>32</v>
      </c>
      <c r="B54" s="190" t="s">
        <v>955</v>
      </c>
      <c r="C54" s="191">
        <v>15</v>
      </c>
      <c r="D54" s="192">
        <v>4170</v>
      </c>
      <c r="E54" s="190">
        <v>10</v>
      </c>
      <c r="F54" s="191">
        <v>150</v>
      </c>
      <c r="G54" s="192">
        <v>41700</v>
      </c>
      <c r="H54" s="190" t="s">
        <v>880</v>
      </c>
      <c r="I54" s="190" t="s">
        <v>956</v>
      </c>
      <c r="J54" s="190" t="s">
        <v>957</v>
      </c>
    </row>
    <row r="55" spans="1:10" x14ac:dyDescent="0.35">
      <c r="A55" s="190" t="s">
        <v>958</v>
      </c>
      <c r="B55" s="190" t="s">
        <v>753</v>
      </c>
      <c r="C55" s="191">
        <v>12</v>
      </c>
      <c r="D55" s="192">
        <v>4170</v>
      </c>
      <c r="E55" s="190">
        <v>25</v>
      </c>
      <c r="F55" s="191">
        <v>375</v>
      </c>
      <c r="G55" s="192">
        <v>104250</v>
      </c>
      <c r="H55" s="190" t="s">
        <v>880</v>
      </c>
      <c r="I55" s="190" t="s">
        <v>928</v>
      </c>
      <c r="J55" s="190" t="s">
        <v>959</v>
      </c>
    </row>
    <row r="57" spans="1:10" ht="16" x14ac:dyDescent="0.4">
      <c r="A57" s="253" t="s">
        <v>1702</v>
      </c>
      <c r="B57" s="253"/>
      <c r="C57" s="253"/>
      <c r="D57" s="253"/>
      <c r="E57" s="253"/>
      <c r="F57" s="253"/>
      <c r="G57" s="253"/>
      <c r="H57" s="253"/>
      <c r="I57" s="253"/>
      <c r="J57" s="253"/>
    </row>
    <row r="58" spans="1:10" x14ac:dyDescent="0.35">
      <c r="A58" s="157" t="s">
        <v>873</v>
      </c>
      <c r="B58" s="157" t="s">
        <v>960</v>
      </c>
      <c r="C58" s="157" t="s">
        <v>961</v>
      </c>
      <c r="D58" s="157" t="s">
        <v>962</v>
      </c>
      <c r="E58" s="157" t="s">
        <v>963</v>
      </c>
      <c r="F58" s="157" t="s">
        <v>964</v>
      </c>
      <c r="G58" s="157" t="s">
        <v>965</v>
      </c>
      <c r="H58" s="157" t="s">
        <v>966</v>
      </c>
      <c r="I58" s="157" t="s">
        <v>967</v>
      </c>
      <c r="J58" s="157" t="s">
        <v>968</v>
      </c>
    </row>
    <row r="59" spans="1:10" x14ac:dyDescent="0.35">
      <c r="A59" s="59" t="s">
        <v>1601</v>
      </c>
      <c r="B59" s="59" t="s">
        <v>1851</v>
      </c>
      <c r="C59" s="59" t="s">
        <v>1852</v>
      </c>
      <c r="D59" s="59" t="s">
        <v>969</v>
      </c>
      <c r="E59" s="59" t="s">
        <v>970</v>
      </c>
      <c r="F59" s="59" t="s">
        <v>971</v>
      </c>
      <c r="G59" s="59" t="s">
        <v>972</v>
      </c>
      <c r="H59" s="59" t="s">
        <v>1</v>
      </c>
      <c r="I59" s="59">
        <v>40</v>
      </c>
      <c r="J59" s="59">
        <v>56</v>
      </c>
    </row>
    <row r="60" spans="1:10" x14ac:dyDescent="0.35">
      <c r="A60" s="60" t="s">
        <v>1104</v>
      </c>
      <c r="B60" s="60" t="s">
        <v>1853</v>
      </c>
      <c r="C60" s="60" t="s">
        <v>1854</v>
      </c>
      <c r="D60" s="60" t="s">
        <v>974</v>
      </c>
      <c r="E60" s="60" t="s">
        <v>975</v>
      </c>
      <c r="F60" s="60" t="s">
        <v>976</v>
      </c>
      <c r="G60" s="60" t="s">
        <v>977</v>
      </c>
      <c r="H60" s="60" t="s">
        <v>13</v>
      </c>
      <c r="I60" s="60">
        <v>64</v>
      </c>
      <c r="J60" s="60">
        <v>80</v>
      </c>
    </row>
    <row r="61" spans="1:10" x14ac:dyDescent="0.35">
      <c r="A61" s="61" t="s">
        <v>86</v>
      </c>
      <c r="B61" s="61" t="s">
        <v>1855</v>
      </c>
      <c r="C61" s="61" t="s">
        <v>1856</v>
      </c>
      <c r="D61" s="61" t="s">
        <v>979</v>
      </c>
      <c r="E61" s="61" t="s">
        <v>980</v>
      </c>
      <c r="F61" s="61" t="s">
        <v>981</v>
      </c>
      <c r="G61" s="61" t="s">
        <v>982</v>
      </c>
      <c r="H61" s="61" t="s">
        <v>13</v>
      </c>
      <c r="I61" s="61">
        <v>88</v>
      </c>
      <c r="J61" s="61">
        <v>104</v>
      </c>
    </row>
    <row r="62" spans="1:10" x14ac:dyDescent="0.35">
      <c r="A62" s="62" t="s">
        <v>1605</v>
      </c>
      <c r="B62" s="62" t="s">
        <v>1857</v>
      </c>
      <c r="C62" s="62" t="s">
        <v>1858</v>
      </c>
      <c r="D62" s="62" t="s">
        <v>983</v>
      </c>
      <c r="E62" s="62" t="s">
        <v>984</v>
      </c>
      <c r="F62" s="62" t="s">
        <v>985</v>
      </c>
      <c r="G62" s="62" t="s">
        <v>986</v>
      </c>
      <c r="H62" s="62" t="s">
        <v>987</v>
      </c>
      <c r="I62" s="62">
        <v>112</v>
      </c>
      <c r="J62" s="62">
        <v>120</v>
      </c>
    </row>
    <row r="64" spans="1:10" ht="16" x14ac:dyDescent="0.4">
      <c r="A64" s="253" t="s">
        <v>1703</v>
      </c>
      <c r="B64" s="253"/>
      <c r="C64" s="253"/>
      <c r="D64" s="253"/>
      <c r="E64" s="253"/>
      <c r="F64" s="253"/>
      <c r="G64" s="253"/>
      <c r="H64" s="253"/>
      <c r="I64" s="253"/>
      <c r="J64" s="253"/>
    </row>
    <row r="65" spans="1:10" x14ac:dyDescent="0.35">
      <c r="A65" s="63" t="s">
        <v>1678</v>
      </c>
      <c r="B65" s="64" t="s">
        <v>988</v>
      </c>
    </row>
    <row r="66" spans="1:10" x14ac:dyDescent="0.35">
      <c r="A66" s="63" t="s">
        <v>1679</v>
      </c>
      <c r="B66" s="64" t="s">
        <v>989</v>
      </c>
    </row>
    <row r="67" spans="1:10" x14ac:dyDescent="0.35">
      <c r="A67" s="63" t="s">
        <v>1680</v>
      </c>
      <c r="B67" s="64" t="s">
        <v>990</v>
      </c>
    </row>
    <row r="68" spans="1:10" x14ac:dyDescent="0.35">
      <c r="A68" s="63" t="s">
        <v>1681</v>
      </c>
      <c r="B68" s="64" t="s">
        <v>991</v>
      </c>
    </row>
    <row r="69" spans="1:10" x14ac:dyDescent="0.35">
      <c r="A69" s="63" t="s">
        <v>1682</v>
      </c>
      <c r="B69" s="64" t="s">
        <v>992</v>
      </c>
    </row>
    <row r="70" spans="1:10" x14ac:dyDescent="0.35">
      <c r="A70" s="63" t="s">
        <v>1683</v>
      </c>
      <c r="B70" s="64" t="s">
        <v>993</v>
      </c>
    </row>
    <row r="71" spans="1:10" x14ac:dyDescent="0.35">
      <c r="A71" s="63" t="s">
        <v>1684</v>
      </c>
      <c r="B71" s="64" t="s">
        <v>994</v>
      </c>
    </row>
    <row r="73" spans="1:10" ht="16" x14ac:dyDescent="0.4">
      <c r="A73" s="294" t="s">
        <v>1704</v>
      </c>
      <c r="B73" s="295"/>
      <c r="C73" s="295"/>
      <c r="D73" s="295"/>
      <c r="E73" s="295"/>
      <c r="F73" s="295"/>
      <c r="G73" s="295"/>
      <c r="H73" s="295"/>
      <c r="I73" s="295"/>
      <c r="J73" s="295"/>
    </row>
    <row r="74" spans="1:10" x14ac:dyDescent="0.35">
      <c r="A74" s="65" t="s">
        <v>995</v>
      </c>
      <c r="B74" s="65" t="s">
        <v>5</v>
      </c>
      <c r="D74" s="65" t="s">
        <v>1001</v>
      </c>
      <c r="E74" s="65" t="s">
        <v>1002</v>
      </c>
      <c r="F74" s="65" t="s">
        <v>1003</v>
      </c>
      <c r="G74" s="65" t="s">
        <v>1004</v>
      </c>
    </row>
    <row r="75" spans="1:10" x14ac:dyDescent="0.35">
      <c r="A75" t="s">
        <v>996</v>
      </c>
      <c r="B75" s="52">
        <v>8</v>
      </c>
      <c r="D75" t="s">
        <v>1005</v>
      </c>
      <c r="E75">
        <v>6</v>
      </c>
      <c r="F75">
        <f>B75*$B$79</f>
        <v>80</v>
      </c>
      <c r="G75" s="46">
        <f>F75*E75</f>
        <v>480</v>
      </c>
    </row>
    <row r="76" spans="1:10" x14ac:dyDescent="0.35">
      <c r="A76" t="s">
        <v>997</v>
      </c>
      <c r="B76" s="52">
        <v>4</v>
      </c>
      <c r="D76" t="s">
        <v>1006</v>
      </c>
      <c r="E76">
        <v>9</v>
      </c>
      <c r="F76">
        <f>B76*$B$79</f>
        <v>40</v>
      </c>
      <c r="G76" s="46">
        <f>F76*E76</f>
        <v>360</v>
      </c>
    </row>
    <row r="77" spans="1:10" x14ac:dyDescent="0.35">
      <c r="A77" t="s">
        <v>998</v>
      </c>
      <c r="B77" s="52">
        <v>2</v>
      </c>
      <c r="D77" t="s">
        <v>1007</v>
      </c>
      <c r="E77">
        <v>12</v>
      </c>
      <c r="F77">
        <f>B77*$B$79</f>
        <v>20</v>
      </c>
      <c r="G77" s="46">
        <f>F77*E77</f>
        <v>240</v>
      </c>
    </row>
    <row r="78" spans="1:10" x14ac:dyDescent="0.35">
      <c r="A78" t="s">
        <v>999</v>
      </c>
      <c r="B78" s="52">
        <v>1</v>
      </c>
      <c r="D78" t="s">
        <v>1008</v>
      </c>
      <c r="E78">
        <v>15</v>
      </c>
      <c r="F78">
        <f>B78*$B$79</f>
        <v>10</v>
      </c>
      <c r="G78" s="46">
        <f>F78*E78</f>
        <v>150</v>
      </c>
    </row>
    <row r="79" spans="1:10" x14ac:dyDescent="0.35">
      <c r="A79" t="s">
        <v>1000</v>
      </c>
      <c r="B79" s="52">
        <v>10</v>
      </c>
      <c r="G79" s="20"/>
    </row>
    <row r="80" spans="1:10" x14ac:dyDescent="0.35">
      <c r="D80" s="66" t="s">
        <v>588</v>
      </c>
      <c r="E80" s="66"/>
      <c r="F80" s="66">
        <v>150</v>
      </c>
      <c r="G80" s="67">
        <f>SUM(G75:G78)</f>
        <v>1230</v>
      </c>
    </row>
    <row r="81" spans="1:10" x14ac:dyDescent="0.35">
      <c r="D81" s="50" t="s">
        <v>1009</v>
      </c>
      <c r="E81" s="50"/>
      <c r="F81" s="50"/>
      <c r="G81" s="38">
        <f>G80*I3</f>
        <v>341940</v>
      </c>
    </row>
    <row r="83" spans="1:10" ht="16" x14ac:dyDescent="0.4">
      <c r="A83" s="294" t="s">
        <v>1705</v>
      </c>
      <c r="B83" s="296"/>
      <c r="C83" s="296"/>
      <c r="D83" s="296"/>
      <c r="E83" s="296"/>
      <c r="F83" s="296"/>
      <c r="G83" s="296"/>
      <c r="H83" s="296"/>
      <c r="I83" s="296"/>
      <c r="J83" s="296"/>
    </row>
    <row r="84" spans="1:10" x14ac:dyDescent="0.35">
      <c r="A84" s="68" t="s">
        <v>1010</v>
      </c>
      <c r="B84" s="68" t="s">
        <v>1011</v>
      </c>
      <c r="C84" s="68" t="s">
        <v>1012</v>
      </c>
      <c r="D84" s="68" t="s">
        <v>1013</v>
      </c>
      <c r="E84" s="68" t="s">
        <v>1014</v>
      </c>
      <c r="F84" s="68" t="s">
        <v>1015</v>
      </c>
      <c r="G84" s="68" t="s">
        <v>9</v>
      </c>
      <c r="H84" s="68" t="s">
        <v>873</v>
      </c>
    </row>
    <row r="85" spans="1:10" x14ac:dyDescent="0.35">
      <c r="A85" s="60" t="s">
        <v>1016</v>
      </c>
      <c r="B85" s="60" t="s">
        <v>1017</v>
      </c>
      <c r="C85" s="60">
        <v>20</v>
      </c>
      <c r="D85" s="21">
        <v>180</v>
      </c>
      <c r="E85" s="21">
        <v>150</v>
      </c>
      <c r="F85" s="21">
        <v>30</v>
      </c>
      <c r="G85" s="60" t="s">
        <v>1018</v>
      </c>
      <c r="H85" s="60" t="s">
        <v>1019</v>
      </c>
    </row>
    <row r="86" spans="1:10" x14ac:dyDescent="0.35">
      <c r="A86" s="59" t="s">
        <v>1020</v>
      </c>
      <c r="B86" s="59" t="s">
        <v>1021</v>
      </c>
      <c r="C86" s="59">
        <v>15</v>
      </c>
      <c r="D86" s="22">
        <v>100</v>
      </c>
      <c r="E86" s="22">
        <v>80</v>
      </c>
      <c r="F86" s="22">
        <v>20</v>
      </c>
      <c r="G86" s="59" t="s">
        <v>1022</v>
      </c>
      <c r="H86" s="59" t="s">
        <v>94</v>
      </c>
    </row>
    <row r="87" spans="1:10" x14ac:dyDescent="0.35">
      <c r="A87" s="61" t="s">
        <v>1023</v>
      </c>
      <c r="B87" s="61" t="s">
        <v>1024</v>
      </c>
      <c r="C87" s="61">
        <v>60</v>
      </c>
      <c r="D87" s="23">
        <v>600</v>
      </c>
      <c r="E87" s="23">
        <v>500</v>
      </c>
      <c r="F87" s="23">
        <v>100</v>
      </c>
      <c r="G87" s="61" t="s">
        <v>1025</v>
      </c>
      <c r="H87" s="61" t="s">
        <v>1026</v>
      </c>
    </row>
    <row r="88" spans="1:10" x14ac:dyDescent="0.35">
      <c r="A88" s="61" t="s">
        <v>872</v>
      </c>
      <c r="B88" s="61" t="s">
        <v>1027</v>
      </c>
      <c r="C88" s="61">
        <v>80</v>
      </c>
      <c r="D88" s="23">
        <v>900</v>
      </c>
      <c r="E88" s="23">
        <v>750</v>
      </c>
      <c r="F88" s="23">
        <v>150</v>
      </c>
      <c r="G88" s="61" t="s">
        <v>1028</v>
      </c>
      <c r="H88" s="61" t="s">
        <v>1026</v>
      </c>
    </row>
    <row r="89" spans="1:10" x14ac:dyDescent="0.35">
      <c r="A89" s="61" t="s">
        <v>1029</v>
      </c>
      <c r="B89" s="61" t="s">
        <v>1030</v>
      </c>
      <c r="C89" s="61">
        <v>100</v>
      </c>
      <c r="D89" s="23">
        <v>1100</v>
      </c>
      <c r="E89" s="23">
        <v>900</v>
      </c>
      <c r="F89" s="23">
        <v>200</v>
      </c>
      <c r="G89" s="61" t="s">
        <v>747</v>
      </c>
      <c r="H89" s="61" t="s">
        <v>1026</v>
      </c>
    </row>
    <row r="90" spans="1:10" x14ac:dyDescent="0.35">
      <c r="A90" s="60" t="s">
        <v>1031</v>
      </c>
      <c r="B90" s="60" t="s">
        <v>1032</v>
      </c>
      <c r="C90" s="60">
        <v>25</v>
      </c>
      <c r="D90" s="21">
        <v>250</v>
      </c>
      <c r="E90" s="21">
        <v>200</v>
      </c>
      <c r="F90" s="21">
        <v>50</v>
      </c>
      <c r="G90" s="60" t="s">
        <v>1033</v>
      </c>
      <c r="H90" s="60" t="s">
        <v>1019</v>
      </c>
    </row>
    <row r="91" spans="1:10" x14ac:dyDescent="0.35">
      <c r="A91" s="62" t="s">
        <v>1034</v>
      </c>
      <c r="B91" s="62" t="s">
        <v>1035</v>
      </c>
      <c r="C91" s="62">
        <v>300</v>
      </c>
      <c r="D91" s="24">
        <v>4500</v>
      </c>
      <c r="E91" s="24">
        <v>4000</v>
      </c>
      <c r="F91" s="24">
        <v>500</v>
      </c>
      <c r="G91" s="62" t="s">
        <v>1036</v>
      </c>
      <c r="H91" s="62" t="s">
        <v>27</v>
      </c>
    </row>
    <row r="93" spans="1:10" ht="16" x14ac:dyDescent="0.4">
      <c r="A93" s="292" t="s">
        <v>1685</v>
      </c>
      <c r="B93" s="293"/>
      <c r="C93" s="293"/>
      <c r="D93" s="293"/>
      <c r="E93" s="293"/>
      <c r="F93" s="293"/>
      <c r="G93" s="293"/>
      <c r="H93" s="293"/>
      <c r="I93" s="293"/>
      <c r="J93" s="293"/>
    </row>
    <row r="94" spans="1:10" x14ac:dyDescent="0.35">
      <c r="A94" s="70" t="s">
        <v>72</v>
      </c>
      <c r="B94" s="70" t="s">
        <v>73</v>
      </c>
      <c r="C94" s="70" t="s">
        <v>1044</v>
      </c>
      <c r="D94" s="70" t="s">
        <v>1045</v>
      </c>
      <c r="E94" s="70" t="s">
        <v>1046</v>
      </c>
      <c r="F94" s="70" t="s">
        <v>1047</v>
      </c>
      <c r="G94" s="70" t="s">
        <v>90</v>
      </c>
      <c r="H94" s="70" t="s">
        <v>964</v>
      </c>
      <c r="I94" s="70" t="s">
        <v>169</v>
      </c>
      <c r="J94" s="70" t="s">
        <v>1038</v>
      </c>
    </row>
    <row r="95" spans="1:10" x14ac:dyDescent="0.35">
      <c r="A95" s="71" t="s">
        <v>1048</v>
      </c>
      <c r="B95" s="71" t="s">
        <v>250</v>
      </c>
      <c r="C95" s="71">
        <v>150</v>
      </c>
      <c r="D95" s="71">
        <v>41700</v>
      </c>
      <c r="E95" s="71">
        <v>15</v>
      </c>
      <c r="F95" s="25">
        <v>10</v>
      </c>
      <c r="G95" s="71" t="s">
        <v>1049</v>
      </c>
      <c r="H95" s="71" t="s">
        <v>856</v>
      </c>
      <c r="I95" s="71" t="s">
        <v>1050</v>
      </c>
      <c r="J95" s="71" t="s">
        <v>1041</v>
      </c>
    </row>
    <row r="96" spans="1:10" x14ac:dyDescent="0.35">
      <c r="A96" s="71" t="s">
        <v>1051</v>
      </c>
      <c r="B96" s="71" t="s">
        <v>250</v>
      </c>
      <c r="C96" s="71">
        <v>300</v>
      </c>
      <c r="D96" s="71">
        <v>83400</v>
      </c>
      <c r="E96" s="71">
        <v>30</v>
      </c>
      <c r="F96" s="25">
        <v>10</v>
      </c>
      <c r="G96" s="71" t="s">
        <v>1052</v>
      </c>
      <c r="H96" s="71" t="s">
        <v>1053</v>
      </c>
      <c r="I96" s="71" t="s">
        <v>1054</v>
      </c>
      <c r="J96" s="71" t="s">
        <v>1041</v>
      </c>
    </row>
    <row r="97" spans="1:10" x14ac:dyDescent="0.35">
      <c r="A97" s="71" t="s">
        <v>1055</v>
      </c>
      <c r="B97" s="71" t="s">
        <v>753</v>
      </c>
      <c r="C97" s="71">
        <v>50</v>
      </c>
      <c r="D97" s="71">
        <v>13900</v>
      </c>
      <c r="E97" s="71">
        <v>5</v>
      </c>
      <c r="F97" s="25">
        <v>12</v>
      </c>
      <c r="G97" s="71" t="s">
        <v>1056</v>
      </c>
      <c r="H97" s="71" t="s">
        <v>1057</v>
      </c>
      <c r="I97" s="71" t="s">
        <v>163</v>
      </c>
      <c r="J97" s="71" t="s">
        <v>1041</v>
      </c>
    </row>
    <row r="98" spans="1:10" x14ac:dyDescent="0.35">
      <c r="A98" s="71" t="s">
        <v>1058</v>
      </c>
      <c r="B98" s="71" t="s">
        <v>753</v>
      </c>
      <c r="C98" s="71">
        <v>150</v>
      </c>
      <c r="D98" s="71">
        <v>41700</v>
      </c>
      <c r="E98" s="71">
        <v>15</v>
      </c>
      <c r="F98" s="25">
        <v>12</v>
      </c>
      <c r="G98" s="71" t="s">
        <v>1059</v>
      </c>
      <c r="H98" s="71" t="s">
        <v>1060</v>
      </c>
      <c r="I98" s="71" t="s">
        <v>163</v>
      </c>
      <c r="J98" s="71" t="s">
        <v>1041</v>
      </c>
    </row>
    <row r="99" spans="1:10" x14ac:dyDescent="0.35">
      <c r="A99" s="71" t="s">
        <v>1061</v>
      </c>
      <c r="B99" s="71" t="s">
        <v>250</v>
      </c>
      <c r="C99" s="71">
        <v>200</v>
      </c>
      <c r="D99" s="71">
        <v>55600</v>
      </c>
      <c r="E99" s="71">
        <v>10</v>
      </c>
      <c r="F99" s="25">
        <v>15</v>
      </c>
      <c r="G99" s="71" t="s">
        <v>1062</v>
      </c>
      <c r="H99" s="71" t="s">
        <v>1037</v>
      </c>
      <c r="I99" s="71" t="s">
        <v>1050</v>
      </c>
      <c r="J99" s="71" t="s">
        <v>1041</v>
      </c>
    </row>
    <row r="100" spans="1:10" x14ac:dyDescent="0.35">
      <c r="A100" s="71" t="s">
        <v>1063</v>
      </c>
      <c r="B100" s="71" t="s">
        <v>250</v>
      </c>
      <c r="C100" s="71">
        <v>200</v>
      </c>
      <c r="D100" s="71">
        <v>55600</v>
      </c>
      <c r="E100" s="71">
        <v>10</v>
      </c>
      <c r="F100" s="25">
        <v>15</v>
      </c>
      <c r="G100" s="71" t="s">
        <v>1064</v>
      </c>
      <c r="H100" s="71" t="s">
        <v>1053</v>
      </c>
      <c r="I100" s="71" t="s">
        <v>1050</v>
      </c>
      <c r="J100" s="71" t="s">
        <v>1041</v>
      </c>
    </row>
    <row r="101" spans="1:10" x14ac:dyDescent="0.35">
      <c r="A101" s="71" t="s">
        <v>1065</v>
      </c>
      <c r="B101" s="71" t="s">
        <v>887</v>
      </c>
      <c r="C101" s="71">
        <v>250</v>
      </c>
      <c r="D101" s="71">
        <v>69500</v>
      </c>
      <c r="E101" s="71">
        <v>25</v>
      </c>
      <c r="F101" s="25">
        <v>10</v>
      </c>
      <c r="G101" s="71" t="s">
        <v>1066</v>
      </c>
      <c r="H101" s="71" t="s">
        <v>1067</v>
      </c>
      <c r="I101" s="71" t="s">
        <v>163</v>
      </c>
      <c r="J101" s="71" t="s">
        <v>1041</v>
      </c>
    </row>
    <row r="102" spans="1:10" x14ac:dyDescent="0.35">
      <c r="A102" s="71" t="s">
        <v>1068</v>
      </c>
      <c r="B102" s="71" t="s">
        <v>753</v>
      </c>
      <c r="C102" s="71">
        <v>300</v>
      </c>
      <c r="D102" s="71">
        <v>83400</v>
      </c>
      <c r="E102" s="71">
        <v>20</v>
      </c>
      <c r="F102" s="25">
        <v>15</v>
      </c>
      <c r="G102" s="71" t="s">
        <v>1069</v>
      </c>
      <c r="H102" s="71" t="s">
        <v>1070</v>
      </c>
      <c r="I102" s="71" t="s">
        <v>1054</v>
      </c>
      <c r="J102" s="71" t="s">
        <v>1041</v>
      </c>
    </row>
    <row r="103" spans="1:10" x14ac:dyDescent="0.35">
      <c r="A103" s="71" t="s">
        <v>1071</v>
      </c>
      <c r="B103" s="71" t="s">
        <v>892</v>
      </c>
      <c r="C103" s="71">
        <v>200</v>
      </c>
      <c r="D103" s="71">
        <v>55600</v>
      </c>
      <c r="E103" s="71">
        <v>25</v>
      </c>
      <c r="F103" s="25">
        <v>8</v>
      </c>
      <c r="G103" s="71" t="s">
        <v>1072</v>
      </c>
      <c r="H103" s="71" t="s">
        <v>1073</v>
      </c>
      <c r="I103" s="71" t="s">
        <v>163</v>
      </c>
      <c r="J103" s="71" t="s">
        <v>1041</v>
      </c>
    </row>
    <row r="104" spans="1:10" x14ac:dyDescent="0.35">
      <c r="A104" s="71" t="s">
        <v>1074</v>
      </c>
      <c r="B104" s="71" t="s">
        <v>1075</v>
      </c>
      <c r="C104" s="71">
        <v>500</v>
      </c>
      <c r="D104" s="71">
        <v>139000</v>
      </c>
      <c r="E104" s="71">
        <v>50</v>
      </c>
      <c r="F104" s="25">
        <v>10</v>
      </c>
      <c r="G104" s="71" t="s">
        <v>1076</v>
      </c>
      <c r="H104" s="71" t="s">
        <v>1077</v>
      </c>
      <c r="I104" s="71" t="s">
        <v>1054</v>
      </c>
      <c r="J104" s="71" t="s">
        <v>1041</v>
      </c>
    </row>
    <row r="106" spans="1:10" ht="16" x14ac:dyDescent="0.4">
      <c r="A106" s="72" t="s">
        <v>1690</v>
      </c>
      <c r="B106" s="73"/>
      <c r="C106" s="73"/>
      <c r="D106" s="73"/>
      <c r="E106" s="73"/>
      <c r="F106" s="73"/>
      <c r="G106" s="73"/>
      <c r="H106" s="73"/>
      <c r="I106" s="73"/>
      <c r="J106" s="73"/>
    </row>
    <row r="108" spans="1:10" x14ac:dyDescent="0.35">
      <c r="A108" t="s">
        <v>1078</v>
      </c>
      <c r="B108" s="52">
        <v>3</v>
      </c>
      <c r="C108" t="s">
        <v>1079</v>
      </c>
      <c r="D108" t="s">
        <v>1080</v>
      </c>
      <c r="E108">
        <v>675</v>
      </c>
      <c r="F108">
        <v>187650</v>
      </c>
    </row>
    <row r="109" spans="1:10" x14ac:dyDescent="0.35">
      <c r="A109" t="s">
        <v>1081</v>
      </c>
      <c r="B109" s="52">
        <v>5</v>
      </c>
      <c r="C109" t="s">
        <v>1082</v>
      </c>
      <c r="D109" t="s">
        <v>1080</v>
      </c>
      <c r="E109">
        <v>500</v>
      </c>
      <c r="F109">
        <v>139000</v>
      </c>
    </row>
    <row r="110" spans="1:10" x14ac:dyDescent="0.35">
      <c r="A110" t="s">
        <v>1083</v>
      </c>
      <c r="B110" s="52">
        <v>2</v>
      </c>
      <c r="C110" t="s">
        <v>1084</v>
      </c>
      <c r="D110" t="s">
        <v>1080</v>
      </c>
      <c r="E110">
        <v>400</v>
      </c>
      <c r="F110">
        <v>111200</v>
      </c>
    </row>
    <row r="111" spans="1:10" x14ac:dyDescent="0.35">
      <c r="A111" t="s">
        <v>1085</v>
      </c>
      <c r="B111" s="52">
        <v>2</v>
      </c>
      <c r="C111" t="s">
        <v>1086</v>
      </c>
      <c r="D111" t="s">
        <v>1080</v>
      </c>
      <c r="E111">
        <v>550</v>
      </c>
      <c r="F111">
        <v>152900</v>
      </c>
    </row>
    <row r="112" spans="1:10" x14ac:dyDescent="0.35">
      <c r="A112" t="s">
        <v>1087</v>
      </c>
      <c r="B112" s="52">
        <v>1</v>
      </c>
      <c r="C112" t="s">
        <v>1088</v>
      </c>
      <c r="D112" t="s">
        <v>1080</v>
      </c>
      <c r="E112">
        <v>500</v>
      </c>
      <c r="F112">
        <v>139000</v>
      </c>
    </row>
    <row r="114" spans="1:10" x14ac:dyDescent="0.35">
      <c r="A114" t="s">
        <v>1089</v>
      </c>
      <c r="D114" s="50" t="s">
        <v>1090</v>
      </c>
      <c r="E114" s="74">
        <v>2625</v>
      </c>
      <c r="F114" s="74">
        <v>729750</v>
      </c>
      <c r="G114" t="s">
        <v>586</v>
      </c>
    </row>
    <row r="115" spans="1:10" x14ac:dyDescent="0.35">
      <c r="D115" s="50" t="s">
        <v>1091</v>
      </c>
      <c r="E115" s="75">
        <v>31500</v>
      </c>
      <c r="F115" s="75">
        <v>8757000</v>
      </c>
      <c r="G115" t="s">
        <v>586</v>
      </c>
    </row>
    <row r="117" spans="1:10" ht="16" x14ac:dyDescent="0.4">
      <c r="A117" s="76" t="s">
        <v>1092</v>
      </c>
      <c r="B117" s="77"/>
      <c r="C117" s="77"/>
      <c r="D117" s="77"/>
      <c r="E117" s="77"/>
      <c r="F117" s="77"/>
      <c r="G117" s="77"/>
      <c r="H117" s="77"/>
      <c r="I117" s="77"/>
      <c r="J117" s="77"/>
    </row>
    <row r="118" spans="1:10" x14ac:dyDescent="0.35">
      <c r="A118" s="70" t="s">
        <v>72</v>
      </c>
      <c r="B118" s="70" t="s">
        <v>73</v>
      </c>
      <c r="C118" s="70" t="s">
        <v>100</v>
      </c>
      <c r="D118" s="70" t="s">
        <v>881</v>
      </c>
      <c r="E118" s="70" t="s">
        <v>882</v>
      </c>
      <c r="F118" s="70" t="s">
        <v>883</v>
      </c>
      <c r="G118" s="70" t="s">
        <v>884</v>
      </c>
      <c r="H118" s="70" t="s">
        <v>886</v>
      </c>
      <c r="I118" s="70" t="s">
        <v>112</v>
      </c>
      <c r="J118" s="70" t="s">
        <v>9</v>
      </c>
    </row>
    <row r="119" spans="1:10" x14ac:dyDescent="0.35">
      <c r="A119" s="78" t="s">
        <v>1093</v>
      </c>
      <c r="B119" s="78" t="s">
        <v>753</v>
      </c>
      <c r="C119" s="78">
        <v>13</v>
      </c>
      <c r="D119" s="78">
        <v>3614</v>
      </c>
      <c r="E119" s="78">
        <v>30</v>
      </c>
      <c r="F119" s="78">
        <v>390</v>
      </c>
      <c r="G119" s="78">
        <v>108420</v>
      </c>
      <c r="H119" s="78" t="s">
        <v>1</v>
      </c>
      <c r="I119" s="78" t="s">
        <v>928</v>
      </c>
      <c r="J119" s="78" t="s">
        <v>1094</v>
      </c>
    </row>
    <row r="120" spans="1:10" x14ac:dyDescent="0.35">
      <c r="A120" s="78" t="s">
        <v>1095</v>
      </c>
      <c r="B120" s="78" t="s">
        <v>753</v>
      </c>
      <c r="C120" s="78">
        <v>12</v>
      </c>
      <c r="D120" s="78">
        <v>3336</v>
      </c>
      <c r="E120" s="78">
        <v>35</v>
      </c>
      <c r="F120" s="78">
        <v>420</v>
      </c>
      <c r="G120" s="78">
        <v>116760</v>
      </c>
      <c r="H120" s="78" t="s">
        <v>1</v>
      </c>
      <c r="I120" s="78" t="s">
        <v>923</v>
      </c>
      <c r="J120" s="78" t="s">
        <v>1037</v>
      </c>
    </row>
    <row r="121" spans="1:10" x14ac:dyDescent="0.35">
      <c r="A121" s="78" t="s">
        <v>1096</v>
      </c>
      <c r="B121" s="78" t="s">
        <v>887</v>
      </c>
      <c r="C121" s="78">
        <v>9</v>
      </c>
      <c r="D121" s="78">
        <v>2502</v>
      </c>
      <c r="E121" s="78">
        <v>3</v>
      </c>
      <c r="F121" s="78">
        <v>27</v>
      </c>
      <c r="G121" s="78">
        <v>7506</v>
      </c>
      <c r="H121" s="78" t="s">
        <v>13</v>
      </c>
      <c r="I121" s="78" t="s">
        <v>893</v>
      </c>
      <c r="J121" s="78" t="s">
        <v>1097</v>
      </c>
    </row>
    <row r="122" spans="1:10" x14ac:dyDescent="0.35">
      <c r="A122" s="78" t="s">
        <v>1098</v>
      </c>
      <c r="B122" s="78" t="s">
        <v>887</v>
      </c>
      <c r="C122" s="78">
        <v>10</v>
      </c>
      <c r="D122" s="78">
        <v>2780</v>
      </c>
      <c r="E122" s="78">
        <v>5</v>
      </c>
      <c r="F122" s="78">
        <v>50</v>
      </c>
      <c r="G122" s="78">
        <v>13900</v>
      </c>
      <c r="H122" s="78" t="s">
        <v>13</v>
      </c>
      <c r="I122" s="78" t="s">
        <v>900</v>
      </c>
      <c r="J122" s="78" t="s">
        <v>1099</v>
      </c>
    </row>
    <row r="123" spans="1:10" x14ac:dyDescent="0.35">
      <c r="A123" s="78" t="s">
        <v>1042</v>
      </c>
      <c r="B123" s="78" t="s">
        <v>887</v>
      </c>
      <c r="C123" s="78">
        <v>10</v>
      </c>
      <c r="D123" s="78">
        <v>2780</v>
      </c>
      <c r="E123" s="78">
        <v>8</v>
      </c>
      <c r="F123" s="78">
        <v>80</v>
      </c>
      <c r="G123" s="78">
        <v>22240</v>
      </c>
      <c r="H123" s="78" t="s">
        <v>13</v>
      </c>
      <c r="I123" s="78" t="s">
        <v>905</v>
      </c>
      <c r="J123" s="78" t="s">
        <v>945</v>
      </c>
    </row>
    <row r="124" spans="1:10" x14ac:dyDescent="0.35">
      <c r="A124" s="78" t="s">
        <v>1100</v>
      </c>
      <c r="B124" s="78" t="s">
        <v>753</v>
      </c>
      <c r="C124" s="78">
        <v>6</v>
      </c>
      <c r="D124" s="78">
        <v>1668</v>
      </c>
      <c r="E124" s="78">
        <v>2</v>
      </c>
      <c r="F124" s="78">
        <v>12</v>
      </c>
      <c r="G124" s="78">
        <v>3336</v>
      </c>
      <c r="H124" s="78" t="s">
        <v>888</v>
      </c>
      <c r="I124" s="78" t="s">
        <v>889</v>
      </c>
      <c r="J124" s="78" t="s">
        <v>1101</v>
      </c>
    </row>
    <row r="125" spans="1:10" x14ac:dyDescent="0.35">
      <c r="A125" s="78" t="s">
        <v>1102</v>
      </c>
      <c r="B125" s="78" t="s">
        <v>753</v>
      </c>
      <c r="C125" s="78">
        <v>6</v>
      </c>
      <c r="D125" s="78">
        <v>1668</v>
      </c>
      <c r="E125" s="78">
        <v>2</v>
      </c>
      <c r="F125" s="78">
        <v>12</v>
      </c>
      <c r="G125" s="78">
        <v>3336</v>
      </c>
      <c r="H125" s="78" t="s">
        <v>888</v>
      </c>
      <c r="I125" s="78" t="s">
        <v>889</v>
      </c>
      <c r="J125" s="78" t="s">
        <v>1026</v>
      </c>
    </row>
    <row r="127" spans="1:10" ht="16" x14ac:dyDescent="0.4">
      <c r="A127" s="79" t="s">
        <v>1691</v>
      </c>
      <c r="B127" s="80"/>
      <c r="C127" s="80"/>
      <c r="D127" s="80"/>
      <c r="E127" s="80"/>
      <c r="F127" s="80"/>
      <c r="G127" s="80"/>
      <c r="H127" s="80"/>
      <c r="I127" s="80"/>
      <c r="J127" s="80"/>
    </row>
    <row r="129" spans="1:10" x14ac:dyDescent="0.35">
      <c r="A129" s="70" t="s">
        <v>1103</v>
      </c>
      <c r="B129" s="70" t="s">
        <v>1104</v>
      </c>
      <c r="C129" s="70" t="s">
        <v>1105</v>
      </c>
      <c r="D129" s="81"/>
      <c r="E129" s="81"/>
      <c r="F129" s="81"/>
      <c r="G129" s="81"/>
      <c r="H129" s="81"/>
      <c r="I129" s="81"/>
      <c r="J129" s="81"/>
    </row>
    <row r="130" spans="1:10" x14ac:dyDescent="0.35">
      <c r="A130" s="82" t="s">
        <v>1692</v>
      </c>
      <c r="B130" s="82" t="s">
        <v>1106</v>
      </c>
      <c r="C130" s="82" t="s">
        <v>1107</v>
      </c>
    </row>
    <row r="131" spans="1:10" x14ac:dyDescent="0.35">
      <c r="A131" s="82" t="s">
        <v>1693</v>
      </c>
      <c r="B131" s="82" t="s">
        <v>1108</v>
      </c>
      <c r="C131" s="82" t="s">
        <v>1109</v>
      </c>
    </row>
    <row r="132" spans="1:10" x14ac:dyDescent="0.35">
      <c r="A132" s="82" t="s">
        <v>1110</v>
      </c>
      <c r="B132" s="82" t="s">
        <v>1111</v>
      </c>
      <c r="C132" s="82" t="s">
        <v>1112</v>
      </c>
    </row>
    <row r="133" spans="1:10" x14ac:dyDescent="0.35">
      <c r="A133" s="82" t="s">
        <v>1113</v>
      </c>
      <c r="B133" s="82" t="s">
        <v>1114</v>
      </c>
      <c r="C133" s="82" t="s">
        <v>1115</v>
      </c>
    </row>
    <row r="134" spans="1:10" x14ac:dyDescent="0.35">
      <c r="A134" s="82" t="s">
        <v>1116</v>
      </c>
      <c r="B134" s="82" t="s">
        <v>1117</v>
      </c>
      <c r="C134" s="82" t="s">
        <v>1118</v>
      </c>
    </row>
    <row r="135" spans="1:10" x14ac:dyDescent="0.35">
      <c r="A135" s="82" t="s">
        <v>1119</v>
      </c>
      <c r="B135" s="82" t="s">
        <v>1120</v>
      </c>
      <c r="C135" s="82" t="s">
        <v>1121</v>
      </c>
    </row>
    <row r="136" spans="1:10" x14ac:dyDescent="0.35">
      <c r="A136" s="82" t="s">
        <v>1122</v>
      </c>
      <c r="B136" s="82" t="s">
        <v>1123</v>
      </c>
      <c r="C136" s="82" t="s">
        <v>1124</v>
      </c>
    </row>
    <row r="137" spans="1:10" x14ac:dyDescent="0.35">
      <c r="A137" s="82" t="s">
        <v>1125</v>
      </c>
      <c r="B137" s="82" t="s">
        <v>1126</v>
      </c>
      <c r="C137" s="82" t="s">
        <v>1127</v>
      </c>
    </row>
    <row r="138" spans="1:10" x14ac:dyDescent="0.35">
      <c r="A138" s="82" t="s">
        <v>1128</v>
      </c>
      <c r="B138" s="82" t="s">
        <v>1129</v>
      </c>
      <c r="C138" s="82" t="s">
        <v>1130</v>
      </c>
    </row>
    <row r="140" spans="1:10" x14ac:dyDescent="0.35">
      <c r="A140" s="82" t="s">
        <v>1131</v>
      </c>
    </row>
    <row r="141" spans="1:10" ht="18.5" x14ac:dyDescent="0.45">
      <c r="A141" s="83" t="s">
        <v>1694</v>
      </c>
      <c r="B141" s="84"/>
      <c r="C141" s="84"/>
      <c r="D141" s="84"/>
      <c r="E141" s="84"/>
      <c r="F141" s="84"/>
      <c r="G141" s="84"/>
      <c r="H141" s="84"/>
      <c r="I141" s="84"/>
      <c r="J141" s="84"/>
    </row>
    <row r="143" spans="1:10" x14ac:dyDescent="0.35">
      <c r="A143" s="70" t="s">
        <v>1132</v>
      </c>
      <c r="B143" s="70" t="s">
        <v>1133</v>
      </c>
      <c r="C143" s="70" t="s">
        <v>1134</v>
      </c>
      <c r="D143" s="70" t="s">
        <v>1135</v>
      </c>
    </row>
    <row r="144" spans="1:10" x14ac:dyDescent="0.35">
      <c r="A144" t="s">
        <v>1695</v>
      </c>
      <c r="B144">
        <v>10</v>
      </c>
      <c r="C144" t="s">
        <v>875</v>
      </c>
      <c r="D144" t="s">
        <v>175</v>
      </c>
    </row>
    <row r="145" spans="1:4" x14ac:dyDescent="0.35">
      <c r="A145" t="s">
        <v>1696</v>
      </c>
      <c r="B145">
        <v>10</v>
      </c>
      <c r="C145" t="s">
        <v>876</v>
      </c>
      <c r="D145" t="s">
        <v>175</v>
      </c>
    </row>
    <row r="146" spans="1:4" x14ac:dyDescent="0.35">
      <c r="A146" t="s">
        <v>1697</v>
      </c>
      <c r="B146">
        <v>10</v>
      </c>
      <c r="C146" t="s">
        <v>877</v>
      </c>
      <c r="D146" t="s">
        <v>175</v>
      </c>
    </row>
    <row r="147" spans="1:4" x14ac:dyDescent="0.35">
      <c r="A147" t="s">
        <v>1698</v>
      </c>
      <c r="B147">
        <v>10</v>
      </c>
      <c r="C147" t="s">
        <v>879</v>
      </c>
      <c r="D147" t="s">
        <v>175</v>
      </c>
    </row>
    <row r="148" spans="1:4" x14ac:dyDescent="0.35">
      <c r="A148" s="69" t="s">
        <v>1699</v>
      </c>
      <c r="B148" s="69">
        <v>10</v>
      </c>
      <c r="C148" s="69" t="s">
        <v>1136</v>
      </c>
      <c r="D148" s="69" t="s">
        <v>1041</v>
      </c>
    </row>
    <row r="149" spans="1:4" x14ac:dyDescent="0.35">
      <c r="A149" t="s">
        <v>1137</v>
      </c>
      <c r="B149">
        <v>7</v>
      </c>
      <c r="C149" t="s">
        <v>1138</v>
      </c>
      <c r="D149" t="s">
        <v>175</v>
      </c>
    </row>
    <row r="150" spans="1:4" x14ac:dyDescent="0.35">
      <c r="A150" s="75" t="s">
        <v>1700</v>
      </c>
      <c r="B150" s="75">
        <v>57</v>
      </c>
      <c r="C150" s="75" t="s">
        <v>1139</v>
      </c>
      <c r="D150" s="75" t="s">
        <v>748</v>
      </c>
    </row>
    <row r="152" spans="1:4" x14ac:dyDescent="0.35">
      <c r="A152" s="50" t="s">
        <v>1701</v>
      </c>
    </row>
    <row r="153" spans="1:4" x14ac:dyDescent="0.35">
      <c r="A153" t="s">
        <v>1140</v>
      </c>
      <c r="B153">
        <v>1230</v>
      </c>
      <c r="C153" t="s">
        <v>1141</v>
      </c>
    </row>
    <row r="154" spans="1:4" x14ac:dyDescent="0.35">
      <c r="A154" t="s">
        <v>1142</v>
      </c>
      <c r="B154">
        <v>2625</v>
      </c>
      <c r="C154" t="s">
        <v>1141</v>
      </c>
    </row>
    <row r="155" spans="1:4" x14ac:dyDescent="0.35">
      <c r="A155" s="74" t="s">
        <v>588</v>
      </c>
      <c r="B155" s="74">
        <v>3855</v>
      </c>
      <c r="C155" s="74" t="s">
        <v>1141</v>
      </c>
    </row>
    <row r="156" spans="1:4" x14ac:dyDescent="0.35">
      <c r="A156" s="50" t="s">
        <v>1009</v>
      </c>
      <c r="B156" s="50">
        <v>1071690</v>
      </c>
      <c r="C156" s="50" t="s">
        <v>586</v>
      </c>
    </row>
  </sheetData>
  <mergeCells count="11">
    <mergeCell ref="A93:J93"/>
    <mergeCell ref="A57:J57"/>
    <mergeCell ref="A64:J64"/>
    <mergeCell ref="A73:J73"/>
    <mergeCell ref="A83:J83"/>
    <mergeCell ref="A44:J44"/>
    <mergeCell ref="A1:J1"/>
    <mergeCell ref="A2:J2"/>
    <mergeCell ref="A5:J5"/>
    <mergeCell ref="A18:J18"/>
    <mergeCell ref="A31:J31"/>
  </mergeCells>
  <dataValidations count="5">
    <dataValidation type="whole" allowBlank="1" showInputMessage="1" showErrorMessage="1" promptTitle="Budget Projects" prompt="Enter number of Budget tier projects per month (0-20)" sqref="B75" xr:uid="{1A476788-3861-484B-888E-0AFCEB5266DD}">
      <formula1>0</formula1>
      <formula2>20</formula2>
    </dataValidation>
    <dataValidation type="whole" allowBlank="1" showInputMessage="1" showErrorMessage="1" sqref="B76" xr:uid="{69CFC8B7-A69A-4FA3-AA1F-AD6DA5E28D9E}">
      <formula1>0</formula1>
      <formula2>15</formula2>
    </dataValidation>
    <dataValidation type="whole" allowBlank="1" showInputMessage="1" showErrorMessage="1" sqref="B77" xr:uid="{DFF5CB3C-0D9A-4E75-9F50-29861A7C424C}">
      <formula1>0</formula1>
      <formula2>10</formula2>
    </dataValidation>
    <dataValidation type="whole" allowBlank="1" showInputMessage="1" showErrorMessage="1" sqref="B78" xr:uid="{798FF640-C4EA-4938-96E5-CA524A8C5496}">
      <formula1>0</formula1>
      <formula2>5</formula2>
    </dataValidation>
    <dataValidation type="whole" allowBlank="1" showInputMessage="1" showErrorMessage="1" sqref="B79" xr:uid="{D1F06C14-ED54-45DE-A4DF-12A7D578423D}">
      <formula1>1</formula1>
      <formula2>50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C528-56A0-43EA-A958-4D71D324AF6A}">
  <dimension ref="A1:K350"/>
  <sheetViews>
    <sheetView tabSelected="1" workbookViewId="0">
      <pane ySplit="4" topLeftCell="A13" activePane="bottomLeft" state="frozen"/>
      <selection pane="bottomLeft" activeCell="C11" sqref="C11"/>
    </sheetView>
  </sheetViews>
  <sheetFormatPr defaultRowHeight="14.5" x14ac:dyDescent="0.35"/>
  <cols>
    <col min="1" max="1" width="29.08984375" customWidth="1"/>
    <col min="2" max="2" width="25.453125" customWidth="1"/>
    <col min="3" max="3" width="58.1796875" customWidth="1"/>
    <col min="4" max="4" width="10.90625" customWidth="1"/>
    <col min="5" max="5" width="18.1796875" customWidth="1"/>
    <col min="7" max="7" width="18.1796875" customWidth="1"/>
    <col min="8" max="8" width="14.54296875" customWidth="1"/>
    <col min="9" max="9" width="25.453125" customWidth="1"/>
  </cols>
  <sheetData>
    <row r="1" spans="1:11" ht="35" customHeight="1" x14ac:dyDescent="0.7">
      <c r="A1" s="233" t="s">
        <v>1661</v>
      </c>
      <c r="B1" s="234"/>
      <c r="C1" s="234"/>
      <c r="D1" s="234"/>
      <c r="E1" s="234"/>
      <c r="F1" s="177"/>
      <c r="G1" s="177"/>
      <c r="H1" s="177"/>
      <c r="I1" s="177"/>
      <c r="J1" s="177"/>
      <c r="K1" s="221" t="s">
        <v>1619</v>
      </c>
    </row>
    <row r="2" spans="1:11" ht="20" customHeight="1" x14ac:dyDescent="0.35">
      <c r="A2" s="235" t="s">
        <v>1662</v>
      </c>
      <c r="B2" s="236"/>
      <c r="C2" s="236"/>
      <c r="D2" s="236"/>
      <c r="E2" s="236"/>
    </row>
    <row r="4" spans="1:11" ht="25" customHeight="1" x14ac:dyDescent="0.35">
      <c r="A4" s="193" t="s">
        <v>1132</v>
      </c>
      <c r="B4" s="193" t="s">
        <v>1149</v>
      </c>
      <c r="C4" s="193" t="s">
        <v>1150</v>
      </c>
      <c r="D4" s="193" t="s">
        <v>1151</v>
      </c>
      <c r="E4" s="193" t="s">
        <v>1152</v>
      </c>
    </row>
    <row r="5" spans="1:11" ht="16" x14ac:dyDescent="0.45">
      <c r="A5" s="85"/>
      <c r="B5" s="85"/>
      <c r="C5" s="85"/>
      <c r="D5" s="86"/>
      <c r="E5" s="86"/>
    </row>
    <row r="6" spans="1:11" ht="16.5" x14ac:dyDescent="0.45">
      <c r="A6" s="194" t="s">
        <v>1663</v>
      </c>
      <c r="B6" s="194"/>
      <c r="C6" s="194"/>
      <c r="D6" s="195"/>
      <c r="E6" s="195"/>
    </row>
    <row r="7" spans="1:11" ht="16" x14ac:dyDescent="0.45">
      <c r="A7" s="89"/>
      <c r="B7" s="89"/>
      <c r="C7" s="89"/>
      <c r="D7" s="90"/>
      <c r="E7" s="90"/>
    </row>
    <row r="8" spans="1:11" ht="16" x14ac:dyDescent="0.45">
      <c r="A8" s="89" t="s">
        <v>1153</v>
      </c>
      <c r="B8" s="89" t="s">
        <v>1154</v>
      </c>
      <c r="C8" s="89" t="s">
        <v>1155</v>
      </c>
      <c r="D8" s="91">
        <v>10</v>
      </c>
      <c r="E8" s="90" t="s">
        <v>975</v>
      </c>
    </row>
    <row r="9" spans="1:11" ht="16" x14ac:dyDescent="0.45">
      <c r="A9" s="89"/>
      <c r="B9" s="89"/>
      <c r="C9" s="89" t="s">
        <v>1156</v>
      </c>
      <c r="D9" s="91">
        <v>10</v>
      </c>
      <c r="E9" s="90" t="s">
        <v>1157</v>
      </c>
    </row>
    <row r="10" spans="1:11" ht="16" x14ac:dyDescent="0.45">
      <c r="A10" s="89"/>
      <c r="B10" s="89"/>
      <c r="C10" s="89" t="s">
        <v>1158</v>
      </c>
      <c r="D10" s="91">
        <v>8</v>
      </c>
      <c r="E10" s="90" t="s">
        <v>1159</v>
      </c>
    </row>
    <row r="11" spans="1:11" ht="16" x14ac:dyDescent="0.45">
      <c r="A11" s="89"/>
      <c r="B11" s="89"/>
      <c r="C11" s="89" t="s">
        <v>1160</v>
      </c>
      <c r="D11" s="91">
        <v>12</v>
      </c>
      <c r="E11" s="90" t="s">
        <v>1161</v>
      </c>
    </row>
    <row r="12" spans="1:11" ht="16" x14ac:dyDescent="0.45">
      <c r="A12" s="89"/>
      <c r="B12" s="89" t="s">
        <v>860</v>
      </c>
      <c r="C12" s="89" t="s">
        <v>1162</v>
      </c>
      <c r="D12" s="91">
        <v>10</v>
      </c>
      <c r="E12" s="90" t="s">
        <v>1163</v>
      </c>
    </row>
    <row r="13" spans="1:11" ht="16" x14ac:dyDescent="0.45">
      <c r="A13" s="89"/>
      <c r="B13" s="89"/>
      <c r="C13" s="89" t="s">
        <v>1164</v>
      </c>
      <c r="D13" s="91">
        <v>10</v>
      </c>
      <c r="E13" s="90" t="s">
        <v>1165</v>
      </c>
    </row>
    <row r="14" spans="1:11" ht="16" x14ac:dyDescent="0.45">
      <c r="A14" s="89"/>
      <c r="B14" s="89"/>
      <c r="C14" s="89" t="s">
        <v>1166</v>
      </c>
      <c r="D14" s="91">
        <v>7</v>
      </c>
      <c r="E14" s="90" t="s">
        <v>1167</v>
      </c>
    </row>
    <row r="15" spans="1:11" ht="16" x14ac:dyDescent="0.45">
      <c r="A15" s="89"/>
      <c r="B15" s="89"/>
      <c r="C15" s="89" t="s">
        <v>1168</v>
      </c>
      <c r="D15" s="91">
        <v>12</v>
      </c>
      <c r="E15" s="90" t="s">
        <v>1169</v>
      </c>
    </row>
    <row r="16" spans="1:11" ht="16" x14ac:dyDescent="0.45">
      <c r="A16" s="89"/>
      <c r="B16" s="89" t="s">
        <v>1170</v>
      </c>
      <c r="C16" s="89" t="s">
        <v>1171</v>
      </c>
      <c r="D16" s="91">
        <v>6</v>
      </c>
      <c r="E16" s="90" t="s">
        <v>1172</v>
      </c>
    </row>
    <row r="17" spans="1:5" ht="16" x14ac:dyDescent="0.45">
      <c r="A17" s="89"/>
      <c r="B17" s="89"/>
      <c r="C17" s="89" t="s">
        <v>1173</v>
      </c>
      <c r="D17" s="91">
        <v>6</v>
      </c>
      <c r="E17" s="90" t="s">
        <v>1174</v>
      </c>
    </row>
    <row r="18" spans="1:5" ht="16" x14ac:dyDescent="0.45">
      <c r="A18" s="89"/>
      <c r="B18" s="89"/>
      <c r="C18" s="89" t="s">
        <v>1175</v>
      </c>
      <c r="D18" s="91">
        <v>6</v>
      </c>
      <c r="E18" s="90" t="s">
        <v>1176</v>
      </c>
    </row>
    <row r="19" spans="1:5" ht="16" x14ac:dyDescent="0.45">
      <c r="A19" s="89"/>
      <c r="B19" s="89"/>
      <c r="C19" s="89" t="s">
        <v>1177</v>
      </c>
      <c r="D19" s="91">
        <v>5</v>
      </c>
      <c r="E19" s="90" t="s">
        <v>1176</v>
      </c>
    </row>
    <row r="20" spans="1:5" ht="16" x14ac:dyDescent="0.45">
      <c r="A20" s="89"/>
      <c r="B20" s="89"/>
      <c r="C20" s="89" t="s">
        <v>1178</v>
      </c>
      <c r="D20" s="91">
        <v>6</v>
      </c>
      <c r="E20" s="90" t="s">
        <v>1174</v>
      </c>
    </row>
    <row r="21" spans="1:5" ht="16" x14ac:dyDescent="0.45">
      <c r="A21" s="89"/>
      <c r="B21" s="89"/>
      <c r="C21" s="89" t="s">
        <v>1179</v>
      </c>
      <c r="D21" s="91">
        <v>8</v>
      </c>
      <c r="E21" s="90" t="s">
        <v>1159</v>
      </c>
    </row>
    <row r="22" spans="1:5" ht="16" x14ac:dyDescent="0.45">
      <c r="A22" s="89"/>
      <c r="B22" s="89"/>
      <c r="C22" s="89" t="s">
        <v>1180</v>
      </c>
      <c r="D22" s="91">
        <v>8</v>
      </c>
      <c r="E22" s="90" t="s">
        <v>1181</v>
      </c>
    </row>
    <row r="23" spans="1:5" ht="16" x14ac:dyDescent="0.45">
      <c r="A23" s="89"/>
      <c r="B23" s="89" t="s">
        <v>1182</v>
      </c>
      <c r="C23" s="89" t="s">
        <v>1183</v>
      </c>
      <c r="D23" s="91">
        <v>5</v>
      </c>
      <c r="E23" s="90" t="s">
        <v>1184</v>
      </c>
    </row>
    <row r="24" spans="1:5" ht="16" x14ac:dyDescent="0.45">
      <c r="A24" s="89"/>
      <c r="B24" s="89"/>
      <c r="C24" s="89" t="s">
        <v>1185</v>
      </c>
      <c r="D24" s="91">
        <v>6</v>
      </c>
      <c r="E24" s="90" t="s">
        <v>1186</v>
      </c>
    </row>
    <row r="25" spans="1:5" ht="16" x14ac:dyDescent="0.45">
      <c r="A25" s="89"/>
      <c r="B25" s="89"/>
      <c r="C25" s="89" t="s">
        <v>1187</v>
      </c>
      <c r="D25" s="91">
        <v>6</v>
      </c>
      <c r="E25" s="90" t="s">
        <v>1157</v>
      </c>
    </row>
    <row r="26" spans="1:5" ht="16" x14ac:dyDescent="0.45">
      <c r="A26" s="89"/>
      <c r="B26" s="89"/>
      <c r="C26" s="89" t="s">
        <v>1188</v>
      </c>
      <c r="D26" s="91">
        <v>5</v>
      </c>
      <c r="E26" s="90" t="s">
        <v>1189</v>
      </c>
    </row>
    <row r="27" spans="1:5" ht="16" x14ac:dyDescent="0.45">
      <c r="A27" s="89"/>
      <c r="B27" s="89"/>
      <c r="C27" s="89" t="s">
        <v>1190</v>
      </c>
      <c r="D27" s="91">
        <v>5</v>
      </c>
      <c r="E27" s="90" t="s">
        <v>1191</v>
      </c>
    </row>
    <row r="28" spans="1:5" ht="16" x14ac:dyDescent="0.45">
      <c r="A28" s="89"/>
      <c r="B28" s="89"/>
      <c r="C28" s="89" t="s">
        <v>1192</v>
      </c>
      <c r="D28" s="91">
        <v>5</v>
      </c>
      <c r="E28" s="90" t="s">
        <v>1176</v>
      </c>
    </row>
    <row r="29" spans="1:5" ht="16" x14ac:dyDescent="0.45">
      <c r="A29" s="89"/>
      <c r="B29" s="89"/>
      <c r="C29" s="89" t="s">
        <v>1193</v>
      </c>
      <c r="D29" s="91">
        <v>6</v>
      </c>
      <c r="E29" s="90" t="s">
        <v>1174</v>
      </c>
    </row>
    <row r="30" spans="1:5" ht="16" x14ac:dyDescent="0.45">
      <c r="A30" s="89"/>
      <c r="B30" s="89"/>
      <c r="C30" s="89" t="s">
        <v>1194</v>
      </c>
      <c r="D30" s="91">
        <v>8</v>
      </c>
      <c r="E30" s="90" t="s">
        <v>1195</v>
      </c>
    </row>
    <row r="31" spans="1:5" ht="16" x14ac:dyDescent="0.45">
      <c r="A31" s="89"/>
      <c r="B31" s="89" t="s">
        <v>1196</v>
      </c>
      <c r="C31" s="89" t="s">
        <v>1197</v>
      </c>
      <c r="D31" s="91">
        <v>8</v>
      </c>
      <c r="E31" s="90" t="s">
        <v>1198</v>
      </c>
    </row>
    <row r="32" spans="1:5" ht="16" x14ac:dyDescent="0.45">
      <c r="A32" s="89"/>
      <c r="B32" s="89"/>
      <c r="C32" s="89" t="s">
        <v>1199</v>
      </c>
      <c r="D32" s="91">
        <v>8</v>
      </c>
      <c r="E32" s="90" t="s">
        <v>1159</v>
      </c>
    </row>
    <row r="33" spans="1:5" ht="16" x14ac:dyDescent="0.45">
      <c r="A33" s="89"/>
      <c r="B33" s="89"/>
      <c r="C33" s="89" t="s">
        <v>1200</v>
      </c>
      <c r="D33" s="91">
        <v>9</v>
      </c>
      <c r="E33" s="90" t="s">
        <v>1181</v>
      </c>
    </row>
    <row r="34" spans="1:5" ht="16" x14ac:dyDescent="0.45">
      <c r="A34" s="89"/>
      <c r="B34" s="89"/>
      <c r="C34" s="89" t="s">
        <v>1201</v>
      </c>
      <c r="D34" s="91">
        <v>8</v>
      </c>
      <c r="E34" s="90" t="s">
        <v>1195</v>
      </c>
    </row>
    <row r="35" spans="1:5" ht="16" x14ac:dyDescent="0.45">
      <c r="A35" s="89"/>
      <c r="B35" s="89"/>
      <c r="C35" s="89" t="s">
        <v>1202</v>
      </c>
      <c r="D35" s="91">
        <v>9</v>
      </c>
      <c r="E35" s="90" t="s">
        <v>1181</v>
      </c>
    </row>
    <row r="36" spans="1:5" ht="16" x14ac:dyDescent="0.45">
      <c r="A36" s="89"/>
      <c r="B36" s="89"/>
      <c r="C36" s="89" t="s">
        <v>1203</v>
      </c>
      <c r="D36" s="91">
        <v>9</v>
      </c>
      <c r="E36" s="90" t="s">
        <v>1204</v>
      </c>
    </row>
    <row r="37" spans="1:5" ht="16" x14ac:dyDescent="0.45">
      <c r="A37" s="89"/>
      <c r="B37" s="89"/>
      <c r="C37" s="89" t="s">
        <v>1205</v>
      </c>
      <c r="D37" s="91">
        <v>8</v>
      </c>
      <c r="E37" s="90" t="s">
        <v>1206</v>
      </c>
    </row>
    <row r="38" spans="1:5" ht="16" x14ac:dyDescent="0.45">
      <c r="A38" s="89"/>
      <c r="B38" s="89"/>
      <c r="C38" s="89" t="s">
        <v>1207</v>
      </c>
      <c r="D38" s="91">
        <v>11</v>
      </c>
      <c r="E38" s="90" t="s">
        <v>1208</v>
      </c>
    </row>
    <row r="39" spans="1:5" ht="16" x14ac:dyDescent="0.45">
      <c r="A39" s="89"/>
      <c r="B39" s="89"/>
      <c r="C39" s="89" t="s">
        <v>1209</v>
      </c>
      <c r="D39" s="91">
        <v>10</v>
      </c>
      <c r="E39" s="90" t="s">
        <v>1210</v>
      </c>
    </row>
    <row r="40" spans="1:5" ht="16" x14ac:dyDescent="0.45">
      <c r="A40" s="89"/>
      <c r="B40" s="89"/>
      <c r="C40" s="89" t="s">
        <v>1211</v>
      </c>
      <c r="D40" s="91">
        <v>12</v>
      </c>
      <c r="E40" s="90" t="s">
        <v>1212</v>
      </c>
    </row>
    <row r="41" spans="1:5" ht="16" x14ac:dyDescent="0.45">
      <c r="A41" s="89"/>
      <c r="B41" s="89"/>
      <c r="C41" s="89" t="s">
        <v>1213</v>
      </c>
      <c r="D41" s="91">
        <v>12</v>
      </c>
      <c r="E41" s="90" t="s">
        <v>1169</v>
      </c>
    </row>
    <row r="42" spans="1:5" ht="16" x14ac:dyDescent="0.45">
      <c r="A42" s="89"/>
      <c r="B42" s="89" t="s">
        <v>1214</v>
      </c>
      <c r="C42" s="89" t="s">
        <v>1215</v>
      </c>
      <c r="D42" s="91">
        <v>9</v>
      </c>
      <c r="E42" s="90" t="s">
        <v>1216</v>
      </c>
    </row>
    <row r="43" spans="1:5" ht="16" x14ac:dyDescent="0.45">
      <c r="A43" s="89"/>
      <c r="B43" s="89"/>
      <c r="C43" s="89" t="s">
        <v>1217</v>
      </c>
      <c r="D43" s="91">
        <v>12</v>
      </c>
      <c r="E43" s="90" t="s">
        <v>1161</v>
      </c>
    </row>
    <row r="44" spans="1:5" ht="16" x14ac:dyDescent="0.45">
      <c r="A44" s="89"/>
      <c r="B44" s="89"/>
      <c r="C44" s="89" t="s">
        <v>1218</v>
      </c>
      <c r="D44" s="91">
        <v>9</v>
      </c>
      <c r="E44" s="90" t="s">
        <v>1195</v>
      </c>
    </row>
    <row r="45" spans="1:5" ht="16" x14ac:dyDescent="0.45">
      <c r="A45" s="89"/>
      <c r="B45" s="89"/>
      <c r="C45" s="89" t="s">
        <v>1219</v>
      </c>
      <c r="D45" s="91">
        <v>8</v>
      </c>
      <c r="E45" s="90" t="s">
        <v>1198</v>
      </c>
    </row>
    <row r="46" spans="1:5" ht="16" x14ac:dyDescent="0.45">
      <c r="A46" s="89"/>
      <c r="B46" s="89"/>
      <c r="C46" s="89" t="s">
        <v>1220</v>
      </c>
      <c r="D46" s="91">
        <v>9</v>
      </c>
      <c r="E46" s="90" t="s">
        <v>1159</v>
      </c>
    </row>
    <row r="47" spans="1:5" ht="16" x14ac:dyDescent="0.45">
      <c r="A47" s="89"/>
      <c r="B47" s="89" t="s">
        <v>1221</v>
      </c>
      <c r="C47" s="89" t="s">
        <v>1222</v>
      </c>
      <c r="D47" s="91">
        <v>8</v>
      </c>
      <c r="E47" s="90" t="s">
        <v>1181</v>
      </c>
    </row>
    <row r="48" spans="1:5" ht="16" x14ac:dyDescent="0.45">
      <c r="A48" s="89"/>
      <c r="B48" s="89"/>
      <c r="C48" s="89" t="s">
        <v>1223</v>
      </c>
      <c r="D48" s="91">
        <v>8</v>
      </c>
      <c r="E48" s="90" t="s">
        <v>1224</v>
      </c>
    </row>
    <row r="49" spans="1:5" ht="16" x14ac:dyDescent="0.45">
      <c r="A49" s="89"/>
      <c r="B49" s="89"/>
      <c r="C49" s="89" t="s">
        <v>1225</v>
      </c>
      <c r="D49" s="91">
        <v>9</v>
      </c>
      <c r="E49" s="90" t="s">
        <v>1159</v>
      </c>
    </row>
    <row r="50" spans="1:5" ht="16" x14ac:dyDescent="0.45">
      <c r="A50" s="89"/>
      <c r="B50" s="89"/>
      <c r="C50" s="89" t="s">
        <v>1226</v>
      </c>
      <c r="D50" s="91">
        <v>12</v>
      </c>
      <c r="E50" s="90" t="s">
        <v>1161</v>
      </c>
    </row>
    <row r="51" spans="1:5" ht="16" x14ac:dyDescent="0.45">
      <c r="A51" s="89"/>
      <c r="B51" s="89"/>
      <c r="C51" s="89" t="s">
        <v>1227</v>
      </c>
      <c r="D51" s="91">
        <v>12</v>
      </c>
      <c r="E51" s="90" t="s">
        <v>1163</v>
      </c>
    </row>
    <row r="52" spans="1:5" ht="16" x14ac:dyDescent="0.45">
      <c r="A52" s="89"/>
      <c r="B52" s="89"/>
      <c r="C52" s="89" t="s">
        <v>1228</v>
      </c>
      <c r="D52" s="91">
        <v>9</v>
      </c>
      <c r="E52" s="90" t="s">
        <v>1181</v>
      </c>
    </row>
    <row r="53" spans="1:5" ht="16" x14ac:dyDescent="0.45">
      <c r="A53" s="89"/>
      <c r="B53" s="89" t="s">
        <v>1229</v>
      </c>
      <c r="C53" s="89" t="s">
        <v>1230</v>
      </c>
      <c r="D53" s="91">
        <v>5</v>
      </c>
      <c r="E53" s="90" t="s">
        <v>1231</v>
      </c>
    </row>
    <row r="54" spans="1:5" ht="16" x14ac:dyDescent="0.45">
      <c r="A54" s="89"/>
      <c r="B54" s="89"/>
      <c r="C54" s="89" t="s">
        <v>1232</v>
      </c>
      <c r="D54" s="91">
        <v>8</v>
      </c>
      <c r="E54" s="90" t="s">
        <v>1174</v>
      </c>
    </row>
    <row r="55" spans="1:5" ht="16" x14ac:dyDescent="0.45">
      <c r="A55" s="89"/>
      <c r="B55" s="89"/>
      <c r="C55" s="89" t="s">
        <v>1233</v>
      </c>
      <c r="D55" s="91">
        <v>5</v>
      </c>
      <c r="E55" s="90" t="s">
        <v>1234</v>
      </c>
    </row>
    <row r="56" spans="1:5" ht="16" x14ac:dyDescent="0.45">
      <c r="A56" s="89"/>
      <c r="B56" s="89"/>
      <c r="C56" s="89" t="s">
        <v>1235</v>
      </c>
      <c r="D56" s="91">
        <v>11</v>
      </c>
      <c r="E56" s="90" t="s">
        <v>1181</v>
      </c>
    </row>
    <row r="57" spans="1:5" ht="16" x14ac:dyDescent="0.45">
      <c r="A57" s="89"/>
      <c r="B57" s="89"/>
      <c r="C57" s="89" t="s">
        <v>1236</v>
      </c>
      <c r="D57" s="91">
        <v>6</v>
      </c>
      <c r="E57" s="90" t="s">
        <v>1237</v>
      </c>
    </row>
    <row r="58" spans="1:5" ht="16" x14ac:dyDescent="0.45">
      <c r="A58" s="89"/>
      <c r="B58" s="89"/>
      <c r="C58" s="89" t="s">
        <v>1238</v>
      </c>
      <c r="D58" s="91">
        <v>8</v>
      </c>
      <c r="E58" s="90" t="s">
        <v>1239</v>
      </c>
    </row>
    <row r="59" spans="1:5" ht="16" x14ac:dyDescent="0.45">
      <c r="A59" s="89"/>
      <c r="B59" s="89"/>
      <c r="C59" s="89" t="s">
        <v>1240</v>
      </c>
      <c r="D59" s="91">
        <v>5</v>
      </c>
      <c r="E59" s="90" t="s">
        <v>1241</v>
      </c>
    </row>
    <row r="60" spans="1:5" ht="16" x14ac:dyDescent="0.45">
      <c r="A60" s="89"/>
      <c r="B60" s="89"/>
      <c r="C60" s="89"/>
      <c r="D60" s="90"/>
      <c r="E60" s="90"/>
    </row>
    <row r="61" spans="1:5" ht="16.5" x14ac:dyDescent="0.45">
      <c r="A61" s="194" t="s">
        <v>1664</v>
      </c>
      <c r="B61" s="194"/>
      <c r="C61" s="194"/>
      <c r="D61" s="195"/>
      <c r="E61" s="195"/>
    </row>
    <row r="62" spans="1:5" ht="16" x14ac:dyDescent="0.45">
      <c r="A62" s="89"/>
      <c r="B62" s="89"/>
      <c r="C62" s="89"/>
      <c r="D62" s="90"/>
      <c r="E62" s="90"/>
    </row>
    <row r="63" spans="1:5" ht="16" x14ac:dyDescent="0.45">
      <c r="A63" s="89" t="s">
        <v>1242</v>
      </c>
      <c r="B63" s="89" t="s">
        <v>1243</v>
      </c>
      <c r="C63" s="89" t="s">
        <v>1244</v>
      </c>
      <c r="D63" s="91">
        <v>9</v>
      </c>
      <c r="E63" s="90" t="s">
        <v>1198</v>
      </c>
    </row>
    <row r="64" spans="1:5" ht="16" x14ac:dyDescent="0.45">
      <c r="A64" s="89"/>
      <c r="B64" s="89"/>
      <c r="C64" s="89" t="s">
        <v>1245</v>
      </c>
      <c r="D64" s="91">
        <v>9</v>
      </c>
      <c r="E64" s="90" t="s">
        <v>1198</v>
      </c>
    </row>
    <row r="65" spans="1:5" ht="16" x14ac:dyDescent="0.45">
      <c r="A65" s="89"/>
      <c r="B65" s="89"/>
      <c r="C65" s="89" t="s">
        <v>1246</v>
      </c>
      <c r="D65" s="91">
        <v>7</v>
      </c>
      <c r="E65" s="90" t="s">
        <v>1174</v>
      </c>
    </row>
    <row r="66" spans="1:5" ht="16" x14ac:dyDescent="0.45">
      <c r="A66" s="89"/>
      <c r="B66" s="89"/>
      <c r="C66" s="89" t="s">
        <v>1247</v>
      </c>
      <c r="D66" s="91">
        <v>10</v>
      </c>
      <c r="E66" s="90" t="s">
        <v>1181</v>
      </c>
    </row>
    <row r="67" spans="1:5" ht="16" x14ac:dyDescent="0.45">
      <c r="A67" s="89"/>
      <c r="B67" s="89" t="s">
        <v>1248</v>
      </c>
      <c r="C67" s="89" t="s">
        <v>1249</v>
      </c>
      <c r="D67" s="91">
        <v>11</v>
      </c>
      <c r="E67" s="90" t="s">
        <v>1210</v>
      </c>
    </row>
    <row r="68" spans="1:5" ht="16" x14ac:dyDescent="0.45">
      <c r="A68" s="89"/>
      <c r="B68" s="89"/>
      <c r="C68" s="89" t="s">
        <v>1250</v>
      </c>
      <c r="D68" s="91">
        <v>11</v>
      </c>
      <c r="E68" s="90" t="s">
        <v>1251</v>
      </c>
    </row>
    <row r="69" spans="1:5" ht="16" x14ac:dyDescent="0.45">
      <c r="A69" s="89"/>
      <c r="B69" s="89"/>
      <c r="C69" s="89" t="s">
        <v>1252</v>
      </c>
      <c r="D69" s="91">
        <v>10</v>
      </c>
      <c r="E69" s="90" t="s">
        <v>1204</v>
      </c>
    </row>
    <row r="70" spans="1:5" ht="16" x14ac:dyDescent="0.45">
      <c r="A70" s="89"/>
      <c r="B70" s="89"/>
      <c r="C70" s="89" t="s">
        <v>1253</v>
      </c>
      <c r="D70" s="91">
        <v>10</v>
      </c>
      <c r="E70" s="90" t="s">
        <v>1254</v>
      </c>
    </row>
    <row r="71" spans="1:5" ht="16" x14ac:dyDescent="0.45">
      <c r="A71" s="89"/>
      <c r="B71" s="89"/>
      <c r="C71" s="89" t="s">
        <v>1255</v>
      </c>
      <c r="D71" s="91">
        <v>12</v>
      </c>
      <c r="E71" s="90" t="s">
        <v>1256</v>
      </c>
    </row>
    <row r="72" spans="1:5" ht="16" x14ac:dyDescent="0.45">
      <c r="A72" s="89"/>
      <c r="B72" s="89"/>
      <c r="C72" s="89" t="s">
        <v>1257</v>
      </c>
      <c r="D72" s="91">
        <v>12</v>
      </c>
      <c r="E72" s="90" t="s">
        <v>1258</v>
      </c>
    </row>
    <row r="73" spans="1:5" ht="16" x14ac:dyDescent="0.45">
      <c r="A73" s="89"/>
      <c r="B73" s="89" t="s">
        <v>118</v>
      </c>
      <c r="C73" s="89" t="s">
        <v>1259</v>
      </c>
      <c r="D73" s="91">
        <v>12</v>
      </c>
      <c r="E73" s="90" t="s">
        <v>1210</v>
      </c>
    </row>
    <row r="74" spans="1:5" ht="16" x14ac:dyDescent="0.45">
      <c r="A74" s="89"/>
      <c r="B74" s="89"/>
      <c r="C74" s="89" t="s">
        <v>1260</v>
      </c>
      <c r="D74" s="91">
        <v>11</v>
      </c>
      <c r="E74" s="90" t="s">
        <v>1181</v>
      </c>
    </row>
    <row r="75" spans="1:5" ht="16" x14ac:dyDescent="0.45">
      <c r="A75" s="89"/>
      <c r="B75" s="89"/>
      <c r="C75" s="89" t="s">
        <v>1261</v>
      </c>
      <c r="D75" s="91">
        <v>10</v>
      </c>
      <c r="E75" s="90" t="s">
        <v>1159</v>
      </c>
    </row>
    <row r="76" spans="1:5" ht="16" x14ac:dyDescent="0.45">
      <c r="A76" s="89"/>
      <c r="B76" s="89"/>
      <c r="C76" s="89" t="s">
        <v>1262</v>
      </c>
      <c r="D76" s="91">
        <v>14</v>
      </c>
      <c r="E76" s="90" t="s">
        <v>1212</v>
      </c>
    </row>
    <row r="77" spans="1:5" ht="16" x14ac:dyDescent="0.45">
      <c r="A77" s="89"/>
      <c r="B77" s="89"/>
      <c r="C77" s="89" t="s">
        <v>1263</v>
      </c>
      <c r="D77" s="91">
        <v>12</v>
      </c>
      <c r="E77" s="90" t="s">
        <v>1163</v>
      </c>
    </row>
    <row r="78" spans="1:5" ht="16" x14ac:dyDescent="0.45">
      <c r="A78" s="89"/>
      <c r="B78" s="89"/>
      <c r="C78" s="89" t="s">
        <v>1264</v>
      </c>
      <c r="D78" s="91">
        <v>10</v>
      </c>
      <c r="E78" s="90" t="s">
        <v>1159</v>
      </c>
    </row>
    <row r="79" spans="1:5" ht="16" x14ac:dyDescent="0.45">
      <c r="A79" s="89"/>
      <c r="B79" s="89"/>
      <c r="C79" s="89" t="s">
        <v>1265</v>
      </c>
      <c r="D79" s="91">
        <v>15</v>
      </c>
      <c r="E79" s="90" t="s">
        <v>1258</v>
      </c>
    </row>
    <row r="80" spans="1:5" ht="16" x14ac:dyDescent="0.45">
      <c r="A80" s="89"/>
      <c r="B80" s="89"/>
      <c r="C80" s="89" t="s">
        <v>1266</v>
      </c>
      <c r="D80" s="91">
        <v>12</v>
      </c>
      <c r="E80" s="90" t="s">
        <v>1161</v>
      </c>
    </row>
    <row r="81" spans="1:5" ht="16" x14ac:dyDescent="0.45">
      <c r="A81" s="89"/>
      <c r="B81" s="89" t="s">
        <v>1267</v>
      </c>
      <c r="C81" s="89" t="s">
        <v>1268</v>
      </c>
      <c r="D81" s="91">
        <v>5</v>
      </c>
      <c r="E81" s="90" t="s">
        <v>1269</v>
      </c>
    </row>
    <row r="82" spans="1:5" ht="16" x14ac:dyDescent="0.45">
      <c r="A82" s="89"/>
      <c r="B82" s="89"/>
      <c r="C82" s="89" t="s">
        <v>1270</v>
      </c>
      <c r="D82" s="91">
        <v>5</v>
      </c>
      <c r="E82" s="90" t="s">
        <v>1271</v>
      </c>
    </row>
    <row r="83" spans="1:5" ht="16" x14ac:dyDescent="0.45">
      <c r="A83" s="89"/>
      <c r="B83" s="89"/>
      <c r="C83" s="89" t="s">
        <v>1272</v>
      </c>
      <c r="D83" s="91">
        <v>11</v>
      </c>
      <c r="E83" s="90" t="s">
        <v>1181</v>
      </c>
    </row>
    <row r="84" spans="1:5" ht="16" x14ac:dyDescent="0.45">
      <c r="A84" s="89"/>
      <c r="B84" s="89"/>
      <c r="C84" s="89" t="s">
        <v>1273</v>
      </c>
      <c r="D84" s="91">
        <v>9</v>
      </c>
      <c r="E84" s="90" t="s">
        <v>1195</v>
      </c>
    </row>
    <row r="85" spans="1:5" ht="16" x14ac:dyDescent="0.45">
      <c r="A85" s="89"/>
      <c r="B85" s="89"/>
      <c r="C85" s="89" t="s">
        <v>1274</v>
      </c>
      <c r="D85" s="91">
        <v>6</v>
      </c>
      <c r="E85" s="90" t="s">
        <v>1275</v>
      </c>
    </row>
    <row r="86" spans="1:5" ht="16" x14ac:dyDescent="0.45">
      <c r="A86" s="89"/>
      <c r="B86" s="89"/>
      <c r="C86" s="89"/>
      <c r="D86" s="90"/>
      <c r="E86" s="90"/>
    </row>
    <row r="87" spans="1:5" ht="16.5" x14ac:dyDescent="0.45">
      <c r="A87" s="194" t="s">
        <v>1665</v>
      </c>
      <c r="B87" s="194"/>
      <c r="C87" s="194"/>
      <c r="D87" s="195"/>
      <c r="E87" s="195"/>
    </row>
    <row r="88" spans="1:5" ht="16" x14ac:dyDescent="0.45">
      <c r="A88" s="89"/>
      <c r="B88" s="89"/>
      <c r="C88" s="89"/>
      <c r="D88" s="90"/>
      <c r="E88" s="90"/>
    </row>
    <row r="89" spans="1:5" ht="16" x14ac:dyDescent="0.45">
      <c r="A89" s="89" t="s">
        <v>1276</v>
      </c>
      <c r="B89" s="89" t="s">
        <v>1277</v>
      </c>
      <c r="C89" s="89" t="s">
        <v>1278</v>
      </c>
      <c r="D89" s="91">
        <v>10</v>
      </c>
      <c r="E89" s="90" t="s">
        <v>1210</v>
      </c>
    </row>
    <row r="90" spans="1:5" ht="16" x14ac:dyDescent="0.45">
      <c r="A90" s="89"/>
      <c r="B90" s="89"/>
      <c r="C90" s="89" t="s">
        <v>1279</v>
      </c>
      <c r="D90" s="91">
        <v>12</v>
      </c>
      <c r="E90" s="90" t="s">
        <v>1169</v>
      </c>
    </row>
    <row r="91" spans="1:5" ht="16" x14ac:dyDescent="0.45">
      <c r="A91" s="89"/>
      <c r="B91" s="89"/>
      <c r="C91" s="89" t="s">
        <v>1280</v>
      </c>
      <c r="D91" s="91">
        <v>10</v>
      </c>
      <c r="E91" s="90" t="s">
        <v>1157</v>
      </c>
    </row>
    <row r="92" spans="1:5" ht="16" x14ac:dyDescent="0.45">
      <c r="A92" s="89"/>
      <c r="B92" s="89"/>
      <c r="C92" s="89" t="s">
        <v>1281</v>
      </c>
      <c r="D92" s="91">
        <v>7</v>
      </c>
      <c r="E92" s="90" t="s">
        <v>1195</v>
      </c>
    </row>
    <row r="93" spans="1:5" ht="16" x14ac:dyDescent="0.45">
      <c r="A93" s="89"/>
      <c r="B93" s="89"/>
      <c r="C93" s="89" t="s">
        <v>1282</v>
      </c>
      <c r="D93" s="91">
        <v>10</v>
      </c>
      <c r="E93" s="90" t="s">
        <v>1224</v>
      </c>
    </row>
    <row r="94" spans="1:5" ht="16" x14ac:dyDescent="0.45">
      <c r="A94" s="89"/>
      <c r="B94" s="89" t="s">
        <v>1283</v>
      </c>
      <c r="C94" s="89" t="s">
        <v>1284</v>
      </c>
      <c r="D94" s="91">
        <v>10</v>
      </c>
      <c r="E94" s="90" t="s">
        <v>1163</v>
      </c>
    </row>
    <row r="95" spans="1:5" ht="16" x14ac:dyDescent="0.45">
      <c r="A95" s="89"/>
      <c r="B95" s="89"/>
      <c r="C95" s="89" t="s">
        <v>1285</v>
      </c>
      <c r="D95" s="91">
        <v>12</v>
      </c>
      <c r="E95" s="90" t="s">
        <v>1286</v>
      </c>
    </row>
    <row r="96" spans="1:5" ht="16" x14ac:dyDescent="0.45">
      <c r="A96" s="89"/>
      <c r="B96" s="89"/>
      <c r="C96" s="89" t="s">
        <v>1287</v>
      </c>
      <c r="D96" s="91">
        <v>12</v>
      </c>
      <c r="E96" s="90" t="s">
        <v>1288</v>
      </c>
    </row>
    <row r="97" spans="1:5" ht="16" x14ac:dyDescent="0.45">
      <c r="A97" s="89"/>
      <c r="B97" s="89"/>
      <c r="C97" s="89" t="s">
        <v>1289</v>
      </c>
      <c r="D97" s="91">
        <v>10</v>
      </c>
      <c r="E97" s="90" t="s">
        <v>1258</v>
      </c>
    </row>
    <row r="98" spans="1:5" ht="16" x14ac:dyDescent="0.45">
      <c r="A98" s="89"/>
      <c r="B98" s="89"/>
      <c r="C98" s="89" t="s">
        <v>1290</v>
      </c>
      <c r="D98" s="91">
        <v>12</v>
      </c>
      <c r="E98" s="90" t="s">
        <v>1291</v>
      </c>
    </row>
    <row r="99" spans="1:5" ht="16" x14ac:dyDescent="0.45">
      <c r="A99" s="89"/>
      <c r="B99" s="89"/>
      <c r="C99" s="89" t="s">
        <v>1292</v>
      </c>
      <c r="D99" s="91">
        <v>13</v>
      </c>
      <c r="E99" s="90" t="s">
        <v>1293</v>
      </c>
    </row>
    <row r="100" spans="1:5" ht="16" x14ac:dyDescent="0.45">
      <c r="A100" s="89"/>
      <c r="B100" s="89"/>
      <c r="C100" s="89" t="s">
        <v>1294</v>
      </c>
      <c r="D100" s="91">
        <v>13</v>
      </c>
      <c r="E100" s="90" t="s">
        <v>1293</v>
      </c>
    </row>
    <row r="101" spans="1:5" ht="16" x14ac:dyDescent="0.45">
      <c r="A101" s="89"/>
      <c r="B101" s="89"/>
      <c r="C101" s="89" t="s">
        <v>1295</v>
      </c>
      <c r="D101" s="91">
        <v>12</v>
      </c>
      <c r="E101" s="90" t="s">
        <v>1296</v>
      </c>
    </row>
    <row r="102" spans="1:5" ht="16" x14ac:dyDescent="0.45">
      <c r="A102" s="89"/>
      <c r="B102" s="89" t="s">
        <v>1297</v>
      </c>
      <c r="C102" s="89" t="s">
        <v>1298</v>
      </c>
      <c r="D102" s="91">
        <v>10</v>
      </c>
      <c r="E102" s="90" t="s">
        <v>1161</v>
      </c>
    </row>
    <row r="103" spans="1:5" ht="16" x14ac:dyDescent="0.45">
      <c r="A103" s="89"/>
      <c r="B103" s="89"/>
      <c r="C103" s="89" t="s">
        <v>1299</v>
      </c>
      <c r="D103" s="91">
        <v>10</v>
      </c>
      <c r="E103" s="90" t="s">
        <v>1163</v>
      </c>
    </row>
    <row r="104" spans="1:5" ht="16" x14ac:dyDescent="0.45">
      <c r="A104" s="89"/>
      <c r="B104" s="89"/>
      <c r="C104" s="89" t="s">
        <v>1300</v>
      </c>
      <c r="D104" s="91">
        <v>10</v>
      </c>
      <c r="E104" s="90" t="s">
        <v>1181</v>
      </c>
    </row>
    <row r="105" spans="1:5" ht="16" x14ac:dyDescent="0.45">
      <c r="A105" s="89"/>
      <c r="B105" s="89"/>
      <c r="C105" s="89" t="s">
        <v>1301</v>
      </c>
      <c r="D105" s="91">
        <v>13</v>
      </c>
      <c r="E105" s="90" t="s">
        <v>1212</v>
      </c>
    </row>
    <row r="106" spans="1:5" ht="16" x14ac:dyDescent="0.45">
      <c r="A106" s="89"/>
      <c r="B106" s="89"/>
      <c r="C106" s="89" t="s">
        <v>1302</v>
      </c>
      <c r="D106" s="91">
        <v>10</v>
      </c>
      <c r="E106" s="90" t="s">
        <v>1161</v>
      </c>
    </row>
    <row r="107" spans="1:5" ht="16" x14ac:dyDescent="0.45">
      <c r="A107" s="89"/>
      <c r="B107" s="89"/>
      <c r="C107" s="89" t="s">
        <v>1303</v>
      </c>
      <c r="D107" s="91">
        <v>12</v>
      </c>
      <c r="E107" s="90" t="s">
        <v>1161</v>
      </c>
    </row>
    <row r="108" spans="1:5" ht="16" x14ac:dyDescent="0.45">
      <c r="A108" s="89"/>
      <c r="B108" s="89"/>
      <c r="C108" s="89" t="s">
        <v>1304</v>
      </c>
      <c r="D108" s="91">
        <v>12</v>
      </c>
      <c r="E108" s="90" t="s">
        <v>1210</v>
      </c>
    </row>
    <row r="109" spans="1:5" ht="16" x14ac:dyDescent="0.45">
      <c r="A109" s="89"/>
      <c r="B109" s="89" t="s">
        <v>1037</v>
      </c>
      <c r="C109" s="89" t="s">
        <v>1305</v>
      </c>
      <c r="D109" s="91">
        <v>13</v>
      </c>
      <c r="E109" s="90" t="s">
        <v>1293</v>
      </c>
    </row>
    <row r="110" spans="1:5" ht="16" x14ac:dyDescent="0.45">
      <c r="A110" s="89"/>
      <c r="B110" s="89"/>
      <c r="C110" s="89" t="s">
        <v>1306</v>
      </c>
      <c r="D110" s="91">
        <v>12</v>
      </c>
      <c r="E110" s="90" t="s">
        <v>1296</v>
      </c>
    </row>
    <row r="111" spans="1:5" ht="16" x14ac:dyDescent="0.45">
      <c r="A111" s="89"/>
      <c r="B111" s="89"/>
      <c r="C111" s="89" t="s">
        <v>1307</v>
      </c>
      <c r="D111" s="91">
        <v>5</v>
      </c>
      <c r="E111" s="90" t="s">
        <v>1308</v>
      </c>
    </row>
    <row r="112" spans="1:5" ht="16" x14ac:dyDescent="0.45">
      <c r="A112" s="89"/>
      <c r="B112" s="89"/>
      <c r="C112" s="89" t="s">
        <v>1309</v>
      </c>
      <c r="D112" s="91">
        <v>13</v>
      </c>
      <c r="E112" s="90" t="s">
        <v>1161</v>
      </c>
    </row>
    <row r="113" spans="1:5" ht="16" x14ac:dyDescent="0.45">
      <c r="A113" s="89"/>
      <c r="B113" s="89"/>
      <c r="C113" s="89" t="s">
        <v>1310</v>
      </c>
      <c r="D113" s="91">
        <v>10</v>
      </c>
      <c r="E113" s="90" t="s">
        <v>1181</v>
      </c>
    </row>
    <row r="114" spans="1:5" ht="16" x14ac:dyDescent="0.45">
      <c r="A114" s="89"/>
      <c r="B114" s="89"/>
      <c r="C114" s="89" t="s">
        <v>1311</v>
      </c>
      <c r="D114" s="91">
        <v>12</v>
      </c>
      <c r="E114" s="90" t="s">
        <v>1161</v>
      </c>
    </row>
    <row r="115" spans="1:5" ht="16" x14ac:dyDescent="0.45">
      <c r="A115" s="89"/>
      <c r="B115" s="89" t="s">
        <v>1312</v>
      </c>
      <c r="C115" s="89" t="s">
        <v>1313</v>
      </c>
      <c r="D115" s="91">
        <v>15</v>
      </c>
      <c r="E115" s="90" t="s">
        <v>1314</v>
      </c>
    </row>
    <row r="116" spans="1:5" ht="16" x14ac:dyDescent="0.45">
      <c r="A116" s="89"/>
      <c r="B116" s="89"/>
      <c r="C116" s="89" t="s">
        <v>1315</v>
      </c>
      <c r="D116" s="91">
        <v>15</v>
      </c>
      <c r="E116" s="90" t="s">
        <v>1316</v>
      </c>
    </row>
    <row r="117" spans="1:5" ht="16" x14ac:dyDescent="0.45">
      <c r="A117" s="89"/>
      <c r="B117" s="89"/>
      <c r="C117" s="89" t="s">
        <v>1317</v>
      </c>
      <c r="D117" s="91">
        <v>15</v>
      </c>
      <c r="E117" s="90" t="s">
        <v>1318</v>
      </c>
    </row>
    <row r="118" spans="1:5" ht="16" x14ac:dyDescent="0.45">
      <c r="A118" s="89"/>
      <c r="B118" s="89"/>
      <c r="C118" s="89" t="s">
        <v>1319</v>
      </c>
      <c r="D118" s="91">
        <v>15</v>
      </c>
      <c r="E118" s="90" t="s">
        <v>1320</v>
      </c>
    </row>
    <row r="119" spans="1:5" ht="16" x14ac:dyDescent="0.45">
      <c r="A119" s="89"/>
      <c r="B119" s="89"/>
      <c r="C119" s="89" t="s">
        <v>1321</v>
      </c>
      <c r="D119" s="91">
        <v>13</v>
      </c>
      <c r="E119" s="90" t="s">
        <v>1256</v>
      </c>
    </row>
    <row r="120" spans="1:5" ht="16" x14ac:dyDescent="0.45">
      <c r="A120" s="89"/>
      <c r="B120" s="89"/>
      <c r="C120" s="89" t="s">
        <v>1322</v>
      </c>
      <c r="D120" s="91">
        <v>13</v>
      </c>
      <c r="E120" s="90" t="s">
        <v>1323</v>
      </c>
    </row>
    <row r="121" spans="1:5" ht="16" x14ac:dyDescent="0.45">
      <c r="A121" s="89"/>
      <c r="B121" s="89"/>
      <c r="C121" s="89"/>
      <c r="D121" s="90"/>
      <c r="E121" s="90"/>
    </row>
    <row r="122" spans="1:5" ht="16.5" x14ac:dyDescent="0.45">
      <c r="A122" s="87" t="s">
        <v>1666</v>
      </c>
      <c r="B122" s="87"/>
      <c r="C122" s="87"/>
      <c r="D122" s="88"/>
      <c r="E122" s="88"/>
    </row>
    <row r="123" spans="1:5" ht="16" x14ac:dyDescent="0.45">
      <c r="A123" s="89"/>
      <c r="B123" s="89"/>
      <c r="C123" s="89"/>
      <c r="D123" s="90"/>
      <c r="E123" s="90"/>
    </row>
    <row r="124" spans="1:5" ht="16" x14ac:dyDescent="0.45">
      <c r="A124" s="89" t="s">
        <v>1324</v>
      </c>
      <c r="B124" s="89" t="s">
        <v>1325</v>
      </c>
      <c r="C124" s="89" t="s">
        <v>1326</v>
      </c>
      <c r="D124" s="91">
        <v>15</v>
      </c>
      <c r="E124" s="90" t="s">
        <v>1327</v>
      </c>
    </row>
    <row r="125" spans="1:5" ht="16" x14ac:dyDescent="0.45">
      <c r="A125" s="89"/>
      <c r="B125" s="89"/>
      <c r="C125" s="89" t="s">
        <v>1328</v>
      </c>
      <c r="D125" s="91">
        <v>15</v>
      </c>
      <c r="E125" s="90" t="s">
        <v>1329</v>
      </c>
    </row>
    <row r="126" spans="1:5" ht="16" x14ac:dyDescent="0.45">
      <c r="A126" s="89"/>
      <c r="B126" s="89"/>
      <c r="C126" s="89" t="s">
        <v>1330</v>
      </c>
      <c r="D126" s="91">
        <v>15</v>
      </c>
      <c r="E126" s="90" t="s">
        <v>1331</v>
      </c>
    </row>
    <row r="127" spans="1:5" ht="16" x14ac:dyDescent="0.45">
      <c r="A127" s="89"/>
      <c r="B127" s="89" t="s">
        <v>1332</v>
      </c>
      <c r="C127" s="89" t="s">
        <v>1333</v>
      </c>
      <c r="D127" s="91">
        <v>15</v>
      </c>
      <c r="E127" s="90" t="s">
        <v>1327</v>
      </c>
    </row>
    <row r="128" spans="1:5" ht="16" x14ac:dyDescent="0.45">
      <c r="A128" s="89"/>
      <c r="B128" s="89"/>
      <c r="C128" s="89" t="s">
        <v>1334</v>
      </c>
      <c r="D128" s="91">
        <v>15</v>
      </c>
      <c r="E128" s="90" t="s">
        <v>1329</v>
      </c>
    </row>
    <row r="129" spans="1:5" ht="16" x14ac:dyDescent="0.45">
      <c r="A129" s="89"/>
      <c r="B129" s="89"/>
      <c r="C129" s="89" t="s">
        <v>1335</v>
      </c>
      <c r="D129" s="91">
        <v>15</v>
      </c>
      <c r="E129" s="90" t="s">
        <v>1331</v>
      </c>
    </row>
    <row r="130" spans="1:5" ht="16" x14ac:dyDescent="0.45">
      <c r="A130" s="89"/>
      <c r="B130" s="89" t="s">
        <v>1336</v>
      </c>
      <c r="C130" s="89" t="s">
        <v>1337</v>
      </c>
      <c r="D130" s="91">
        <v>15</v>
      </c>
      <c r="E130" s="90" t="s">
        <v>1338</v>
      </c>
    </row>
    <row r="131" spans="1:5" ht="16" x14ac:dyDescent="0.45">
      <c r="A131" s="196"/>
      <c r="B131" s="196"/>
      <c r="C131" s="196" t="s">
        <v>1339</v>
      </c>
      <c r="D131" s="197">
        <v>15</v>
      </c>
      <c r="E131" s="198" t="s">
        <v>1340</v>
      </c>
    </row>
    <row r="132" spans="1:5" ht="16" x14ac:dyDescent="0.45">
      <c r="A132" s="89"/>
      <c r="B132" s="89"/>
      <c r="C132" s="89" t="s">
        <v>1341</v>
      </c>
      <c r="D132" s="91">
        <v>15</v>
      </c>
      <c r="E132" s="90" t="s">
        <v>1342</v>
      </c>
    </row>
    <row r="133" spans="1:5" ht="16" x14ac:dyDescent="0.45">
      <c r="A133" s="89"/>
      <c r="B133" s="89" t="s">
        <v>1343</v>
      </c>
      <c r="C133" s="89" t="s">
        <v>1344</v>
      </c>
      <c r="D133" s="91">
        <v>13</v>
      </c>
      <c r="E133" s="90" t="s">
        <v>1258</v>
      </c>
    </row>
    <row r="134" spans="1:5" ht="16" x14ac:dyDescent="0.45">
      <c r="A134" s="89"/>
      <c r="B134" s="89"/>
      <c r="C134" s="89" t="s">
        <v>1345</v>
      </c>
      <c r="D134" s="91">
        <v>13</v>
      </c>
      <c r="E134" s="90" t="s">
        <v>1163</v>
      </c>
    </row>
    <row r="135" spans="1:5" ht="16" x14ac:dyDescent="0.45">
      <c r="A135" s="89"/>
      <c r="B135" s="89"/>
      <c r="C135" s="89" t="s">
        <v>1346</v>
      </c>
      <c r="D135" s="91">
        <v>15</v>
      </c>
      <c r="E135" s="90" t="s">
        <v>1212</v>
      </c>
    </row>
    <row r="136" spans="1:5" ht="16" x14ac:dyDescent="0.45">
      <c r="A136" s="89"/>
      <c r="B136" s="89"/>
      <c r="C136" s="89" t="s">
        <v>1347</v>
      </c>
      <c r="D136" s="91">
        <v>13</v>
      </c>
      <c r="E136" s="90" t="s">
        <v>1161</v>
      </c>
    </row>
    <row r="137" spans="1:5" ht="16" x14ac:dyDescent="0.45">
      <c r="A137" s="89"/>
      <c r="B137" s="89"/>
      <c r="C137" s="89" t="s">
        <v>1348</v>
      </c>
      <c r="D137" s="91">
        <v>15</v>
      </c>
      <c r="E137" s="90" t="s">
        <v>1349</v>
      </c>
    </row>
    <row r="138" spans="1:5" ht="16" x14ac:dyDescent="0.45">
      <c r="A138" s="89"/>
      <c r="B138" s="89"/>
      <c r="C138" s="89" t="s">
        <v>1350</v>
      </c>
      <c r="D138" s="91">
        <v>13</v>
      </c>
      <c r="E138" s="90" t="s">
        <v>1258</v>
      </c>
    </row>
    <row r="139" spans="1:5" ht="16" x14ac:dyDescent="0.45">
      <c r="A139" s="89"/>
      <c r="B139" s="89"/>
      <c r="C139" s="89" t="s">
        <v>1351</v>
      </c>
      <c r="D139" s="91">
        <v>13</v>
      </c>
      <c r="E139" s="90" t="s">
        <v>1163</v>
      </c>
    </row>
    <row r="140" spans="1:5" ht="16" x14ac:dyDescent="0.45">
      <c r="A140" s="89"/>
      <c r="B140" s="89"/>
      <c r="C140" s="89" t="s">
        <v>1352</v>
      </c>
      <c r="D140" s="91">
        <v>15</v>
      </c>
      <c r="E140" s="90" t="s">
        <v>1212</v>
      </c>
    </row>
    <row r="141" spans="1:5" ht="16" x14ac:dyDescent="0.45">
      <c r="A141" s="89"/>
      <c r="B141" s="89"/>
      <c r="C141" s="89"/>
      <c r="D141" s="90"/>
      <c r="E141" s="90"/>
    </row>
    <row r="142" spans="1:5" ht="16.5" x14ac:dyDescent="0.45">
      <c r="A142" s="87" t="s">
        <v>1667</v>
      </c>
      <c r="B142" s="87"/>
      <c r="C142" s="87"/>
      <c r="D142" s="88"/>
      <c r="E142" s="88"/>
    </row>
    <row r="143" spans="1:5" ht="16" x14ac:dyDescent="0.45">
      <c r="A143" s="89"/>
      <c r="B143" s="89"/>
      <c r="C143" s="89"/>
      <c r="D143" s="90"/>
      <c r="E143" s="90"/>
    </row>
    <row r="144" spans="1:5" ht="16" x14ac:dyDescent="0.45">
      <c r="A144" s="89" t="s">
        <v>750</v>
      </c>
      <c r="B144" s="89" t="s">
        <v>1353</v>
      </c>
      <c r="C144" s="89" t="s">
        <v>1354</v>
      </c>
      <c r="D144" s="91">
        <v>10</v>
      </c>
      <c r="E144" s="90" t="s">
        <v>1174</v>
      </c>
    </row>
    <row r="145" spans="1:5" ht="16" x14ac:dyDescent="0.45">
      <c r="A145" s="89"/>
      <c r="B145" s="89"/>
      <c r="C145" s="89" t="s">
        <v>1355</v>
      </c>
      <c r="D145" s="91">
        <v>12</v>
      </c>
      <c r="E145" s="90" t="s">
        <v>1167</v>
      </c>
    </row>
    <row r="146" spans="1:5" ht="16" x14ac:dyDescent="0.45">
      <c r="A146" s="89"/>
      <c r="B146" s="89"/>
      <c r="C146" s="89" t="s">
        <v>1356</v>
      </c>
      <c r="D146" s="91">
        <v>10</v>
      </c>
      <c r="E146" s="90" t="s">
        <v>1181</v>
      </c>
    </row>
    <row r="147" spans="1:5" ht="16" x14ac:dyDescent="0.45">
      <c r="A147" s="89"/>
      <c r="B147" s="89"/>
      <c r="C147" s="89" t="s">
        <v>1357</v>
      </c>
      <c r="D147" s="91">
        <v>9</v>
      </c>
      <c r="E147" s="90" t="s">
        <v>1195</v>
      </c>
    </row>
    <row r="148" spans="1:5" ht="16" x14ac:dyDescent="0.45">
      <c r="A148" s="89"/>
      <c r="B148" s="89" t="s">
        <v>1358</v>
      </c>
      <c r="C148" s="89" t="s">
        <v>1359</v>
      </c>
      <c r="D148" s="91">
        <v>12</v>
      </c>
      <c r="E148" s="90" t="s">
        <v>1167</v>
      </c>
    </row>
    <row r="149" spans="1:5" ht="16" x14ac:dyDescent="0.45">
      <c r="A149" s="89"/>
      <c r="B149" s="89"/>
      <c r="C149" s="89" t="s">
        <v>1360</v>
      </c>
      <c r="D149" s="91">
        <v>12</v>
      </c>
      <c r="E149" s="90" t="s">
        <v>1361</v>
      </c>
    </row>
    <row r="150" spans="1:5" ht="16" x14ac:dyDescent="0.45">
      <c r="A150" s="89"/>
      <c r="B150" s="89"/>
      <c r="C150" s="89" t="s">
        <v>1362</v>
      </c>
      <c r="D150" s="91">
        <v>13</v>
      </c>
      <c r="E150" s="90" t="s">
        <v>1258</v>
      </c>
    </row>
    <row r="151" spans="1:5" ht="16" x14ac:dyDescent="0.45">
      <c r="A151" s="89"/>
      <c r="B151" s="89"/>
      <c r="C151" s="89" t="s">
        <v>1363</v>
      </c>
      <c r="D151" s="91">
        <v>15</v>
      </c>
      <c r="E151" s="90" t="s">
        <v>1364</v>
      </c>
    </row>
    <row r="152" spans="1:5" ht="16" x14ac:dyDescent="0.45">
      <c r="A152" s="89"/>
      <c r="B152" s="89"/>
      <c r="C152" s="89" t="s">
        <v>1365</v>
      </c>
      <c r="D152" s="91">
        <v>14</v>
      </c>
      <c r="E152" s="90" t="s">
        <v>1212</v>
      </c>
    </row>
    <row r="153" spans="1:5" ht="16" x14ac:dyDescent="0.45">
      <c r="A153" s="89"/>
      <c r="B153" s="89" t="s">
        <v>1366</v>
      </c>
      <c r="C153" s="89" t="s">
        <v>1367</v>
      </c>
      <c r="D153" s="91">
        <v>13</v>
      </c>
      <c r="E153" s="90" t="s">
        <v>1258</v>
      </c>
    </row>
    <row r="154" spans="1:5" ht="16" x14ac:dyDescent="0.45">
      <c r="A154" s="89"/>
      <c r="B154" s="89"/>
      <c r="C154" s="89" t="s">
        <v>1368</v>
      </c>
      <c r="D154" s="91">
        <v>10</v>
      </c>
      <c r="E154" s="90" t="s">
        <v>1161</v>
      </c>
    </row>
    <row r="155" spans="1:5" ht="16" x14ac:dyDescent="0.45">
      <c r="A155" s="89"/>
      <c r="B155" s="89"/>
      <c r="C155" s="89" t="s">
        <v>1369</v>
      </c>
      <c r="D155" s="91">
        <v>10</v>
      </c>
      <c r="E155" s="90" t="s">
        <v>1181</v>
      </c>
    </row>
    <row r="156" spans="1:5" ht="16" x14ac:dyDescent="0.45">
      <c r="A156" s="89"/>
      <c r="B156" s="89"/>
      <c r="C156" s="89" t="s">
        <v>1370</v>
      </c>
      <c r="D156" s="91">
        <v>12</v>
      </c>
      <c r="E156" s="90" t="s">
        <v>1161</v>
      </c>
    </row>
    <row r="157" spans="1:5" ht="16" x14ac:dyDescent="0.45">
      <c r="A157" s="89"/>
      <c r="B157" s="89"/>
      <c r="C157" s="89" t="s">
        <v>1371</v>
      </c>
      <c r="D157" s="91">
        <v>13</v>
      </c>
      <c r="E157" s="90" t="s">
        <v>1258</v>
      </c>
    </row>
    <row r="158" spans="1:5" ht="16" x14ac:dyDescent="0.45">
      <c r="A158" s="89"/>
      <c r="B158" s="89"/>
      <c r="C158" s="89" t="s">
        <v>1372</v>
      </c>
      <c r="D158" s="91">
        <v>13</v>
      </c>
      <c r="E158" s="90" t="s">
        <v>1163</v>
      </c>
    </row>
    <row r="159" spans="1:5" ht="16" x14ac:dyDescent="0.45">
      <c r="A159" s="89"/>
      <c r="B159" s="89" t="s">
        <v>1373</v>
      </c>
      <c r="C159" s="89" t="s">
        <v>1374</v>
      </c>
      <c r="D159" s="91">
        <v>12</v>
      </c>
      <c r="E159" s="90" t="s">
        <v>1163</v>
      </c>
    </row>
    <row r="160" spans="1:5" ht="16" x14ac:dyDescent="0.45">
      <c r="A160" s="89"/>
      <c r="B160" s="89"/>
      <c r="C160" s="89" t="s">
        <v>1375</v>
      </c>
      <c r="D160" s="91">
        <v>10</v>
      </c>
      <c r="E160" s="90" t="s">
        <v>1210</v>
      </c>
    </row>
    <row r="161" spans="1:5" ht="16" x14ac:dyDescent="0.45">
      <c r="A161" s="89"/>
      <c r="B161" s="89"/>
      <c r="C161" s="89" t="s">
        <v>1376</v>
      </c>
      <c r="D161" s="91">
        <v>13</v>
      </c>
      <c r="E161" s="90" t="s">
        <v>1258</v>
      </c>
    </row>
    <row r="162" spans="1:5" ht="16" x14ac:dyDescent="0.45">
      <c r="A162" s="89"/>
      <c r="B162" s="89"/>
      <c r="C162" s="89"/>
      <c r="D162" s="90"/>
      <c r="E162" s="90"/>
    </row>
    <row r="163" spans="1:5" ht="16.5" x14ac:dyDescent="0.45">
      <c r="A163" s="87" t="s">
        <v>1668</v>
      </c>
      <c r="B163" s="87"/>
      <c r="C163" s="87"/>
      <c r="D163" s="88"/>
      <c r="E163" s="88"/>
    </row>
    <row r="164" spans="1:5" ht="16" x14ac:dyDescent="0.45">
      <c r="A164" s="89"/>
      <c r="B164" s="89"/>
      <c r="C164" s="89"/>
      <c r="D164" s="90"/>
      <c r="E164" s="90"/>
    </row>
    <row r="165" spans="1:5" ht="16" x14ac:dyDescent="0.45">
      <c r="A165" s="89" t="s">
        <v>1377</v>
      </c>
      <c r="B165" s="89" t="s">
        <v>1378</v>
      </c>
      <c r="C165" s="89" t="s">
        <v>1379</v>
      </c>
      <c r="D165" s="91">
        <v>11</v>
      </c>
      <c r="E165" s="90" t="s">
        <v>1161</v>
      </c>
    </row>
    <row r="166" spans="1:5" ht="16" x14ac:dyDescent="0.45">
      <c r="A166" s="89"/>
      <c r="B166" s="89"/>
      <c r="C166" s="89" t="s">
        <v>1380</v>
      </c>
      <c r="D166" s="91">
        <v>10</v>
      </c>
      <c r="E166" s="90" t="s">
        <v>1181</v>
      </c>
    </row>
    <row r="167" spans="1:5" ht="16" x14ac:dyDescent="0.45">
      <c r="A167" s="89"/>
      <c r="B167" s="89"/>
      <c r="C167" s="89" t="s">
        <v>1381</v>
      </c>
      <c r="D167" s="91">
        <v>10</v>
      </c>
      <c r="E167" s="90" t="s">
        <v>1181</v>
      </c>
    </row>
    <row r="168" spans="1:5" ht="16" x14ac:dyDescent="0.45">
      <c r="A168" s="89"/>
      <c r="B168" s="89"/>
      <c r="C168" s="89" t="s">
        <v>1382</v>
      </c>
      <c r="D168" s="91">
        <v>10</v>
      </c>
      <c r="E168" s="90" t="s">
        <v>1383</v>
      </c>
    </row>
    <row r="169" spans="1:5" ht="16" x14ac:dyDescent="0.45">
      <c r="A169" s="89"/>
      <c r="B169" s="89"/>
      <c r="C169" s="89" t="s">
        <v>1384</v>
      </c>
      <c r="D169" s="91">
        <v>10</v>
      </c>
      <c r="E169" s="90" t="s">
        <v>1181</v>
      </c>
    </row>
    <row r="170" spans="1:5" ht="16" x14ac:dyDescent="0.45">
      <c r="A170" s="89"/>
      <c r="B170" s="89"/>
      <c r="C170" s="89" t="s">
        <v>1385</v>
      </c>
      <c r="D170" s="91">
        <v>12</v>
      </c>
      <c r="E170" s="90" t="s">
        <v>1161</v>
      </c>
    </row>
    <row r="171" spans="1:5" ht="16" x14ac:dyDescent="0.45">
      <c r="A171" s="89"/>
      <c r="B171" s="89" t="s">
        <v>1386</v>
      </c>
      <c r="C171" s="89" t="s">
        <v>1387</v>
      </c>
      <c r="D171" s="91">
        <v>12</v>
      </c>
      <c r="E171" s="90" t="s">
        <v>1258</v>
      </c>
    </row>
    <row r="172" spans="1:5" ht="16" x14ac:dyDescent="0.45">
      <c r="A172" s="89"/>
      <c r="B172" s="89"/>
      <c r="C172" s="89" t="s">
        <v>1388</v>
      </c>
      <c r="D172" s="91">
        <v>10</v>
      </c>
      <c r="E172" s="90" t="s">
        <v>1161</v>
      </c>
    </row>
    <row r="173" spans="1:5" ht="16" x14ac:dyDescent="0.45">
      <c r="A173" s="89"/>
      <c r="B173" s="89"/>
      <c r="C173" s="89" t="s">
        <v>1389</v>
      </c>
      <c r="D173" s="91">
        <v>10</v>
      </c>
      <c r="E173" s="90" t="s">
        <v>1161</v>
      </c>
    </row>
    <row r="174" spans="1:5" ht="16" x14ac:dyDescent="0.45">
      <c r="A174" s="89"/>
      <c r="B174" s="89"/>
      <c r="C174" s="89" t="s">
        <v>1390</v>
      </c>
      <c r="D174" s="91">
        <v>9</v>
      </c>
      <c r="E174" s="90" t="s">
        <v>1181</v>
      </c>
    </row>
    <row r="175" spans="1:5" ht="16" x14ac:dyDescent="0.45">
      <c r="A175" s="196"/>
      <c r="B175" s="196" t="s">
        <v>1391</v>
      </c>
      <c r="C175" s="196" t="s">
        <v>1392</v>
      </c>
      <c r="D175" s="197">
        <v>12</v>
      </c>
      <c r="E175" s="198" t="s">
        <v>1163</v>
      </c>
    </row>
    <row r="176" spans="1:5" ht="16" x14ac:dyDescent="0.45">
      <c r="A176" s="89"/>
      <c r="B176" s="89"/>
      <c r="C176" s="89" t="s">
        <v>1393</v>
      </c>
      <c r="D176" s="91">
        <v>12</v>
      </c>
      <c r="E176" s="90" t="s">
        <v>1161</v>
      </c>
    </row>
    <row r="177" spans="1:5" ht="16" x14ac:dyDescent="0.45">
      <c r="A177" s="89"/>
      <c r="B177" s="89"/>
      <c r="C177" s="89" t="s">
        <v>1394</v>
      </c>
      <c r="D177" s="91">
        <v>9</v>
      </c>
      <c r="E177" s="90" t="s">
        <v>1195</v>
      </c>
    </row>
    <row r="178" spans="1:5" ht="16" x14ac:dyDescent="0.45">
      <c r="A178" s="89"/>
      <c r="B178" s="89"/>
      <c r="C178" s="89" t="s">
        <v>1395</v>
      </c>
      <c r="D178" s="91">
        <v>9</v>
      </c>
      <c r="E178" s="90" t="s">
        <v>1239</v>
      </c>
    </row>
    <row r="179" spans="1:5" ht="16" x14ac:dyDescent="0.45">
      <c r="A179" s="89"/>
      <c r="B179" s="89" t="s">
        <v>1396</v>
      </c>
      <c r="C179" s="89" t="s">
        <v>1397</v>
      </c>
      <c r="D179" s="91">
        <v>12</v>
      </c>
      <c r="E179" s="90" t="s">
        <v>1163</v>
      </c>
    </row>
    <row r="180" spans="1:5" ht="16" x14ac:dyDescent="0.45">
      <c r="A180" s="89"/>
      <c r="B180" s="89"/>
      <c r="C180" s="89" t="s">
        <v>1398</v>
      </c>
      <c r="D180" s="91">
        <v>13</v>
      </c>
      <c r="E180" s="90" t="s">
        <v>1258</v>
      </c>
    </row>
    <row r="181" spans="1:5" ht="16" x14ac:dyDescent="0.45">
      <c r="A181" s="89"/>
      <c r="B181" s="89"/>
      <c r="C181" s="89" t="s">
        <v>1399</v>
      </c>
      <c r="D181" s="91">
        <v>12</v>
      </c>
      <c r="E181" s="90" t="s">
        <v>1161</v>
      </c>
    </row>
    <row r="182" spans="1:5" ht="16" x14ac:dyDescent="0.45">
      <c r="A182" s="89"/>
      <c r="B182" s="89"/>
      <c r="C182" s="89" t="s">
        <v>1400</v>
      </c>
      <c r="D182" s="91">
        <v>12</v>
      </c>
      <c r="E182" s="90" t="s">
        <v>1258</v>
      </c>
    </row>
    <row r="183" spans="1:5" ht="16" x14ac:dyDescent="0.45">
      <c r="A183" s="89"/>
      <c r="B183" s="89"/>
      <c r="C183" s="89" t="s">
        <v>1401</v>
      </c>
      <c r="D183" s="91">
        <v>13</v>
      </c>
      <c r="E183" s="90" t="s">
        <v>1402</v>
      </c>
    </row>
    <row r="184" spans="1:5" ht="16" x14ac:dyDescent="0.45">
      <c r="A184" s="89"/>
      <c r="B184" s="89"/>
      <c r="C184" s="89" t="s">
        <v>1403</v>
      </c>
      <c r="D184" s="91">
        <v>12</v>
      </c>
      <c r="E184" s="90" t="s">
        <v>1258</v>
      </c>
    </row>
    <row r="185" spans="1:5" ht="16" x14ac:dyDescent="0.45">
      <c r="A185" s="89"/>
      <c r="B185" s="89"/>
      <c r="C185" s="89" t="s">
        <v>1404</v>
      </c>
      <c r="D185" s="91">
        <v>13</v>
      </c>
      <c r="E185" s="90" t="s">
        <v>1258</v>
      </c>
    </row>
    <row r="186" spans="1:5" ht="16" x14ac:dyDescent="0.45">
      <c r="A186" s="89"/>
      <c r="B186" s="89"/>
      <c r="C186" s="89" t="s">
        <v>1405</v>
      </c>
      <c r="D186" s="91">
        <v>12</v>
      </c>
      <c r="E186" s="90" t="s">
        <v>1161</v>
      </c>
    </row>
    <row r="187" spans="1:5" ht="16" x14ac:dyDescent="0.45">
      <c r="A187" s="89"/>
      <c r="B187" s="89" t="s">
        <v>1406</v>
      </c>
      <c r="C187" s="89" t="s">
        <v>1407</v>
      </c>
      <c r="D187" s="91">
        <v>10</v>
      </c>
      <c r="E187" s="90" t="s">
        <v>1161</v>
      </c>
    </row>
    <row r="188" spans="1:5" ht="16" x14ac:dyDescent="0.45">
      <c r="A188" s="89"/>
      <c r="B188" s="89"/>
      <c r="C188" s="89" t="s">
        <v>1408</v>
      </c>
      <c r="D188" s="91">
        <v>9</v>
      </c>
      <c r="E188" s="90" t="s">
        <v>1181</v>
      </c>
    </row>
    <row r="189" spans="1:5" ht="16" x14ac:dyDescent="0.45">
      <c r="A189" s="89"/>
      <c r="B189" s="89"/>
      <c r="C189" s="89" t="s">
        <v>1409</v>
      </c>
      <c r="D189" s="91">
        <v>10</v>
      </c>
      <c r="E189" s="90" t="s">
        <v>1163</v>
      </c>
    </row>
    <row r="190" spans="1:5" ht="16" x14ac:dyDescent="0.45">
      <c r="A190" s="89"/>
      <c r="B190" s="89"/>
      <c r="C190" s="89" t="s">
        <v>1410</v>
      </c>
      <c r="D190" s="91">
        <v>10</v>
      </c>
      <c r="E190" s="90" t="s">
        <v>1161</v>
      </c>
    </row>
    <row r="191" spans="1:5" ht="16" x14ac:dyDescent="0.45">
      <c r="A191" s="89"/>
      <c r="B191" s="89"/>
      <c r="C191" s="89" t="s">
        <v>1411</v>
      </c>
      <c r="D191" s="91">
        <v>10</v>
      </c>
      <c r="E191" s="90" t="s">
        <v>1210</v>
      </c>
    </row>
    <row r="192" spans="1:5" ht="16" x14ac:dyDescent="0.45">
      <c r="A192" s="89"/>
      <c r="B192" s="89" t="s">
        <v>1412</v>
      </c>
      <c r="C192" s="89" t="s">
        <v>1413</v>
      </c>
      <c r="D192" s="91">
        <v>9</v>
      </c>
      <c r="E192" s="90" t="s">
        <v>1181</v>
      </c>
    </row>
    <row r="193" spans="1:5" ht="16" x14ac:dyDescent="0.45">
      <c r="A193" s="196"/>
      <c r="B193" s="196"/>
      <c r="C193" s="196" t="s">
        <v>1414</v>
      </c>
      <c r="D193" s="197">
        <v>7</v>
      </c>
      <c r="E193" s="198" t="s">
        <v>1198</v>
      </c>
    </row>
    <row r="194" spans="1:5" ht="16" x14ac:dyDescent="0.45">
      <c r="A194" s="89"/>
      <c r="B194" s="89"/>
      <c r="C194" s="89" t="s">
        <v>1415</v>
      </c>
      <c r="D194" s="91">
        <v>12</v>
      </c>
      <c r="E194" s="90" t="s">
        <v>1163</v>
      </c>
    </row>
    <row r="195" spans="1:5" ht="16" x14ac:dyDescent="0.45">
      <c r="A195" s="89"/>
      <c r="B195" s="89"/>
      <c r="C195" s="89" t="s">
        <v>1416</v>
      </c>
      <c r="D195" s="91">
        <v>8</v>
      </c>
      <c r="E195" s="90" t="s">
        <v>1195</v>
      </c>
    </row>
    <row r="196" spans="1:5" ht="16" x14ac:dyDescent="0.45">
      <c r="A196" s="89"/>
      <c r="B196" s="89"/>
      <c r="C196" s="89" t="s">
        <v>1417</v>
      </c>
      <c r="D196" s="91">
        <v>10</v>
      </c>
      <c r="E196" s="90" t="s">
        <v>1181</v>
      </c>
    </row>
    <row r="197" spans="1:5" ht="16" x14ac:dyDescent="0.45">
      <c r="A197" s="89"/>
      <c r="B197" s="89"/>
      <c r="C197" s="89" t="s">
        <v>1418</v>
      </c>
      <c r="D197" s="91">
        <v>10</v>
      </c>
      <c r="E197" s="90" t="s">
        <v>1181</v>
      </c>
    </row>
    <row r="198" spans="1:5" ht="16" x14ac:dyDescent="0.45">
      <c r="A198" s="89"/>
      <c r="B198" s="89"/>
      <c r="C198" s="89"/>
      <c r="D198" s="90"/>
      <c r="E198" s="90"/>
    </row>
    <row r="199" spans="1:5" ht="16.5" x14ac:dyDescent="0.45">
      <c r="A199" s="87" t="s">
        <v>1669</v>
      </c>
      <c r="B199" s="87"/>
      <c r="C199" s="87"/>
      <c r="D199" s="88"/>
      <c r="E199" s="88"/>
    </row>
    <row r="200" spans="1:5" ht="16" x14ac:dyDescent="0.45">
      <c r="A200" s="89"/>
      <c r="B200" s="89"/>
      <c r="C200" s="89"/>
      <c r="D200" s="90"/>
      <c r="E200" s="90"/>
    </row>
    <row r="201" spans="1:5" ht="16" x14ac:dyDescent="0.45">
      <c r="A201" s="89" t="s">
        <v>1039</v>
      </c>
      <c r="B201" s="89" t="s">
        <v>1419</v>
      </c>
      <c r="C201" s="89" t="s">
        <v>1420</v>
      </c>
      <c r="D201" s="91">
        <v>9</v>
      </c>
      <c r="E201" s="90" t="s">
        <v>1421</v>
      </c>
    </row>
    <row r="202" spans="1:5" ht="16" x14ac:dyDescent="0.45">
      <c r="A202" s="89"/>
      <c r="B202" s="89"/>
      <c r="C202" s="89" t="s">
        <v>1422</v>
      </c>
      <c r="D202" s="91">
        <v>9</v>
      </c>
      <c r="E202" s="90" t="s">
        <v>1216</v>
      </c>
    </row>
    <row r="203" spans="1:5" ht="16" x14ac:dyDescent="0.45">
      <c r="A203" s="89"/>
      <c r="B203" s="89"/>
      <c r="C203" s="89" t="s">
        <v>1423</v>
      </c>
      <c r="D203" s="91">
        <v>10</v>
      </c>
      <c r="E203" s="90" t="s">
        <v>1210</v>
      </c>
    </row>
    <row r="204" spans="1:5" ht="16" x14ac:dyDescent="0.45">
      <c r="A204" s="89"/>
      <c r="B204" s="89"/>
      <c r="C204" s="89" t="s">
        <v>1424</v>
      </c>
      <c r="D204" s="91">
        <v>10</v>
      </c>
      <c r="E204" s="90" t="s">
        <v>1204</v>
      </c>
    </row>
    <row r="205" spans="1:5" ht="16" x14ac:dyDescent="0.45">
      <c r="A205" s="89"/>
      <c r="B205" s="89"/>
      <c r="C205" s="89" t="s">
        <v>1425</v>
      </c>
      <c r="D205" s="91">
        <v>9</v>
      </c>
      <c r="E205" s="90" t="s">
        <v>1159</v>
      </c>
    </row>
    <row r="206" spans="1:5" ht="16" x14ac:dyDescent="0.45">
      <c r="A206" s="89"/>
      <c r="B206" s="89" t="s">
        <v>1426</v>
      </c>
      <c r="C206" s="89" t="s">
        <v>1427</v>
      </c>
      <c r="D206" s="91">
        <v>10</v>
      </c>
      <c r="E206" s="90" t="s">
        <v>1210</v>
      </c>
    </row>
    <row r="207" spans="1:5" ht="16" x14ac:dyDescent="0.45">
      <c r="A207" s="196"/>
      <c r="B207" s="196"/>
      <c r="C207" s="196" t="s">
        <v>1428</v>
      </c>
      <c r="D207" s="197">
        <v>9</v>
      </c>
      <c r="E207" s="198" t="s">
        <v>1181</v>
      </c>
    </row>
    <row r="208" spans="1:5" ht="16" x14ac:dyDescent="0.45">
      <c r="A208" s="89"/>
      <c r="B208" s="89"/>
      <c r="C208" s="89" t="s">
        <v>1429</v>
      </c>
      <c r="D208" s="91">
        <v>9</v>
      </c>
      <c r="E208" s="90" t="s">
        <v>1159</v>
      </c>
    </row>
    <row r="209" spans="1:5" ht="16" x14ac:dyDescent="0.45">
      <c r="A209" s="89"/>
      <c r="B209" s="89"/>
      <c r="C209" s="89" t="s">
        <v>1430</v>
      </c>
      <c r="D209" s="91">
        <v>7</v>
      </c>
      <c r="E209" s="90" t="s">
        <v>1275</v>
      </c>
    </row>
    <row r="210" spans="1:5" ht="16" x14ac:dyDescent="0.45">
      <c r="A210" s="89"/>
      <c r="B210" s="89"/>
      <c r="C210" s="89" t="s">
        <v>1431</v>
      </c>
      <c r="D210" s="91">
        <v>7</v>
      </c>
      <c r="E210" s="90" t="s">
        <v>1195</v>
      </c>
    </row>
    <row r="211" spans="1:5" ht="16" x14ac:dyDescent="0.45">
      <c r="A211" s="89"/>
      <c r="B211" s="89" t="s">
        <v>1432</v>
      </c>
      <c r="C211" s="89" t="s">
        <v>1433</v>
      </c>
      <c r="D211" s="91">
        <v>12</v>
      </c>
      <c r="E211" s="90" t="s">
        <v>1163</v>
      </c>
    </row>
    <row r="212" spans="1:5" ht="16" x14ac:dyDescent="0.45">
      <c r="A212" s="89"/>
      <c r="B212" s="89"/>
      <c r="C212" s="89" t="s">
        <v>1434</v>
      </c>
      <c r="D212" s="91">
        <v>10</v>
      </c>
      <c r="E212" s="90" t="s">
        <v>1210</v>
      </c>
    </row>
    <row r="213" spans="1:5" ht="16" x14ac:dyDescent="0.45">
      <c r="A213" s="89"/>
      <c r="B213" s="89"/>
      <c r="C213" s="89" t="s">
        <v>1435</v>
      </c>
      <c r="D213" s="91">
        <v>9</v>
      </c>
      <c r="E213" s="90" t="s">
        <v>1195</v>
      </c>
    </row>
    <row r="214" spans="1:5" ht="16" x14ac:dyDescent="0.45">
      <c r="A214" s="89"/>
      <c r="B214" s="89"/>
      <c r="C214" s="89" t="s">
        <v>1436</v>
      </c>
      <c r="D214" s="91">
        <v>10</v>
      </c>
      <c r="E214" s="90" t="s">
        <v>1251</v>
      </c>
    </row>
    <row r="215" spans="1:5" ht="16" x14ac:dyDescent="0.45">
      <c r="A215" s="89"/>
      <c r="B215" s="89"/>
      <c r="C215" s="89" t="s">
        <v>1437</v>
      </c>
      <c r="D215" s="91">
        <v>9</v>
      </c>
      <c r="E215" s="90" t="s">
        <v>1239</v>
      </c>
    </row>
    <row r="216" spans="1:5" ht="16" x14ac:dyDescent="0.45">
      <c r="A216" s="89"/>
      <c r="B216" s="89"/>
      <c r="C216" s="89" t="s">
        <v>1438</v>
      </c>
      <c r="D216" s="91">
        <v>10</v>
      </c>
      <c r="E216" s="90" t="s">
        <v>1181</v>
      </c>
    </row>
    <row r="217" spans="1:5" ht="16" x14ac:dyDescent="0.45">
      <c r="A217" s="89"/>
      <c r="B217" s="89" t="s">
        <v>1439</v>
      </c>
      <c r="C217" s="89" t="s">
        <v>1440</v>
      </c>
      <c r="D217" s="91">
        <v>12</v>
      </c>
      <c r="E217" s="90" t="s">
        <v>1258</v>
      </c>
    </row>
    <row r="218" spans="1:5" ht="16" x14ac:dyDescent="0.45">
      <c r="A218" s="89"/>
      <c r="B218" s="89"/>
      <c r="C218" s="89" t="s">
        <v>1441</v>
      </c>
      <c r="D218" s="91">
        <v>13</v>
      </c>
      <c r="E218" s="90" t="s">
        <v>1212</v>
      </c>
    </row>
    <row r="219" spans="1:5" ht="16" x14ac:dyDescent="0.45">
      <c r="A219" s="89"/>
      <c r="B219" s="89"/>
      <c r="C219" s="89" t="s">
        <v>1442</v>
      </c>
      <c r="D219" s="91">
        <v>11</v>
      </c>
      <c r="E219" s="90" t="s">
        <v>1210</v>
      </c>
    </row>
    <row r="220" spans="1:5" ht="16" x14ac:dyDescent="0.45">
      <c r="A220" s="89"/>
      <c r="B220" s="89"/>
      <c r="C220" s="89" t="s">
        <v>1443</v>
      </c>
      <c r="D220" s="91">
        <v>13</v>
      </c>
      <c r="E220" s="90" t="s">
        <v>1212</v>
      </c>
    </row>
    <row r="221" spans="1:5" ht="16" x14ac:dyDescent="0.45">
      <c r="A221" s="89"/>
      <c r="B221" s="89"/>
      <c r="C221" s="89" t="s">
        <v>1444</v>
      </c>
      <c r="D221" s="91">
        <v>12</v>
      </c>
      <c r="E221" s="90" t="s">
        <v>1163</v>
      </c>
    </row>
    <row r="222" spans="1:5" ht="16" x14ac:dyDescent="0.45">
      <c r="A222" s="89"/>
      <c r="B222" s="89" t="s">
        <v>1445</v>
      </c>
      <c r="C222" s="89" t="s">
        <v>1446</v>
      </c>
      <c r="D222" s="91">
        <v>7</v>
      </c>
      <c r="E222" s="90" t="s">
        <v>1361</v>
      </c>
    </row>
    <row r="223" spans="1:5" ht="16" x14ac:dyDescent="0.45">
      <c r="A223" s="89"/>
      <c r="B223" s="89"/>
      <c r="C223" s="89" t="s">
        <v>1447</v>
      </c>
      <c r="D223" s="91">
        <v>9</v>
      </c>
      <c r="E223" s="90" t="s">
        <v>1448</v>
      </c>
    </row>
    <row r="224" spans="1:5" ht="16" x14ac:dyDescent="0.45">
      <c r="A224" s="89"/>
      <c r="B224" s="89"/>
      <c r="C224" s="89" t="s">
        <v>1449</v>
      </c>
      <c r="D224" s="91">
        <v>9</v>
      </c>
      <c r="E224" s="90" t="s">
        <v>1195</v>
      </c>
    </row>
    <row r="225" spans="1:5" ht="16" x14ac:dyDescent="0.45">
      <c r="A225" s="89"/>
      <c r="B225" s="89"/>
      <c r="C225" s="89"/>
      <c r="D225" s="90"/>
      <c r="E225" s="90"/>
    </row>
    <row r="226" spans="1:5" ht="16.5" x14ac:dyDescent="0.45">
      <c r="A226" s="87" t="s">
        <v>1670</v>
      </c>
      <c r="B226" s="87"/>
      <c r="C226" s="87"/>
      <c r="D226" s="88"/>
      <c r="E226" s="88"/>
    </row>
    <row r="227" spans="1:5" ht="16" x14ac:dyDescent="0.45">
      <c r="A227" s="89"/>
      <c r="B227" s="89"/>
      <c r="C227" s="89"/>
      <c r="D227" s="90"/>
      <c r="E227" s="90"/>
    </row>
    <row r="228" spans="1:5" ht="16" x14ac:dyDescent="0.45">
      <c r="A228" s="89" t="s">
        <v>921</v>
      </c>
      <c r="B228" s="89" t="s">
        <v>1450</v>
      </c>
      <c r="C228" s="89" t="s">
        <v>1451</v>
      </c>
      <c r="D228" s="91">
        <v>12</v>
      </c>
      <c r="E228" s="90" t="s">
        <v>1161</v>
      </c>
    </row>
    <row r="229" spans="1:5" ht="16" x14ac:dyDescent="0.45">
      <c r="A229" s="89"/>
      <c r="B229" s="89"/>
      <c r="C229" s="89" t="s">
        <v>1452</v>
      </c>
      <c r="D229" s="91">
        <v>12</v>
      </c>
      <c r="E229" s="90" t="s">
        <v>1161</v>
      </c>
    </row>
    <row r="230" spans="1:5" ht="16" x14ac:dyDescent="0.45">
      <c r="A230" s="89"/>
      <c r="B230" s="89"/>
      <c r="C230" s="89" t="s">
        <v>1453</v>
      </c>
      <c r="D230" s="91">
        <v>13</v>
      </c>
      <c r="E230" s="90" t="s">
        <v>1163</v>
      </c>
    </row>
    <row r="231" spans="1:5" ht="16" x14ac:dyDescent="0.45">
      <c r="A231" s="196"/>
      <c r="B231" s="196"/>
      <c r="C231" s="196" t="s">
        <v>1454</v>
      </c>
      <c r="D231" s="197">
        <v>13</v>
      </c>
      <c r="E231" s="198" t="s">
        <v>1258</v>
      </c>
    </row>
    <row r="232" spans="1:5" ht="16" x14ac:dyDescent="0.45">
      <c r="A232" s="89"/>
      <c r="B232" s="89" t="s">
        <v>1455</v>
      </c>
      <c r="C232" s="89" t="s">
        <v>1456</v>
      </c>
      <c r="D232" s="91">
        <v>13</v>
      </c>
      <c r="E232" s="90" t="s">
        <v>1212</v>
      </c>
    </row>
    <row r="233" spans="1:5" ht="16" x14ac:dyDescent="0.45">
      <c r="A233" s="89"/>
      <c r="B233" s="89"/>
      <c r="C233" s="89" t="s">
        <v>1457</v>
      </c>
      <c r="D233" s="91">
        <v>12</v>
      </c>
      <c r="E233" s="90" t="s">
        <v>1258</v>
      </c>
    </row>
    <row r="234" spans="1:5" ht="16" x14ac:dyDescent="0.45">
      <c r="A234" s="89"/>
      <c r="B234" s="89"/>
      <c r="C234" s="89" t="s">
        <v>1458</v>
      </c>
      <c r="D234" s="91">
        <v>12</v>
      </c>
      <c r="E234" s="90" t="s">
        <v>1258</v>
      </c>
    </row>
    <row r="235" spans="1:5" ht="16" x14ac:dyDescent="0.45">
      <c r="A235" s="89"/>
      <c r="B235" s="89"/>
      <c r="C235" s="89" t="s">
        <v>1459</v>
      </c>
      <c r="D235" s="91">
        <v>15</v>
      </c>
      <c r="E235" s="90" t="s">
        <v>1364</v>
      </c>
    </row>
    <row r="236" spans="1:5" ht="16" x14ac:dyDescent="0.45">
      <c r="A236" s="89"/>
      <c r="B236" s="89" t="s">
        <v>1460</v>
      </c>
      <c r="C236" s="89" t="s">
        <v>1461</v>
      </c>
      <c r="D236" s="91">
        <v>12</v>
      </c>
      <c r="E236" s="90" t="s">
        <v>1258</v>
      </c>
    </row>
    <row r="237" spans="1:5" ht="16" x14ac:dyDescent="0.45">
      <c r="A237" s="89"/>
      <c r="B237" s="89"/>
      <c r="C237" s="89" t="s">
        <v>1462</v>
      </c>
      <c r="D237" s="91">
        <v>12</v>
      </c>
      <c r="E237" s="90" t="s">
        <v>1258</v>
      </c>
    </row>
    <row r="238" spans="1:5" ht="16" x14ac:dyDescent="0.45">
      <c r="A238" s="89"/>
      <c r="B238" s="89"/>
      <c r="C238" s="89" t="s">
        <v>1463</v>
      </c>
      <c r="D238" s="91">
        <v>13</v>
      </c>
      <c r="E238" s="90" t="s">
        <v>1212</v>
      </c>
    </row>
    <row r="239" spans="1:5" ht="16" x14ac:dyDescent="0.45">
      <c r="A239" s="89"/>
      <c r="B239" s="89"/>
      <c r="C239" s="89" t="s">
        <v>1464</v>
      </c>
      <c r="D239" s="91">
        <v>10</v>
      </c>
      <c r="E239" s="90" t="s">
        <v>1161</v>
      </c>
    </row>
    <row r="240" spans="1:5" ht="16" x14ac:dyDescent="0.45">
      <c r="A240" s="89"/>
      <c r="B240" s="89"/>
      <c r="C240" s="89" t="s">
        <v>1465</v>
      </c>
      <c r="D240" s="91">
        <v>10</v>
      </c>
      <c r="E240" s="90" t="s">
        <v>1161</v>
      </c>
    </row>
    <row r="241" spans="1:5" ht="16" x14ac:dyDescent="0.45">
      <c r="A241" s="89"/>
      <c r="B241" s="89"/>
      <c r="C241" s="89" t="s">
        <v>1466</v>
      </c>
      <c r="D241" s="91">
        <v>10</v>
      </c>
      <c r="E241" s="90" t="s">
        <v>1161</v>
      </c>
    </row>
    <row r="242" spans="1:5" ht="16" x14ac:dyDescent="0.45">
      <c r="A242" s="89"/>
      <c r="B242" s="89"/>
      <c r="C242" s="89" t="s">
        <v>1467</v>
      </c>
      <c r="D242" s="91">
        <v>7</v>
      </c>
      <c r="E242" s="90" t="s">
        <v>1181</v>
      </c>
    </row>
    <row r="243" spans="1:5" ht="16" x14ac:dyDescent="0.45">
      <c r="A243" s="89"/>
      <c r="B243" s="89" t="s">
        <v>1468</v>
      </c>
      <c r="C243" s="89" t="s">
        <v>1469</v>
      </c>
      <c r="D243" s="91">
        <v>10</v>
      </c>
      <c r="E243" s="90" t="s">
        <v>1210</v>
      </c>
    </row>
    <row r="244" spans="1:5" ht="16" x14ac:dyDescent="0.45">
      <c r="A244" s="89"/>
      <c r="B244" s="89"/>
      <c r="C244" s="89" t="s">
        <v>1470</v>
      </c>
      <c r="D244" s="91">
        <v>10</v>
      </c>
      <c r="E244" s="90" t="s">
        <v>1204</v>
      </c>
    </row>
    <row r="245" spans="1:5" ht="16" x14ac:dyDescent="0.45">
      <c r="A245" s="89"/>
      <c r="B245" s="89"/>
      <c r="C245" s="89" t="s">
        <v>1471</v>
      </c>
      <c r="D245" s="91">
        <v>12</v>
      </c>
      <c r="E245" s="90" t="s">
        <v>1472</v>
      </c>
    </row>
    <row r="246" spans="1:5" ht="16" x14ac:dyDescent="0.45">
      <c r="A246" s="89"/>
      <c r="B246" s="89"/>
      <c r="C246" s="89" t="s">
        <v>1473</v>
      </c>
      <c r="D246" s="91">
        <v>13</v>
      </c>
      <c r="E246" s="90" t="s">
        <v>1258</v>
      </c>
    </row>
    <row r="247" spans="1:5" ht="16" x14ac:dyDescent="0.45">
      <c r="A247" s="89"/>
      <c r="B247" s="89"/>
      <c r="C247" s="89" t="s">
        <v>1474</v>
      </c>
      <c r="D247" s="91">
        <v>10</v>
      </c>
      <c r="E247" s="90" t="s">
        <v>1161</v>
      </c>
    </row>
    <row r="248" spans="1:5" ht="16" x14ac:dyDescent="0.45">
      <c r="A248" s="89"/>
      <c r="B248" s="89"/>
      <c r="C248" s="89"/>
      <c r="D248" s="90"/>
      <c r="E248" s="90"/>
    </row>
    <row r="249" spans="1:5" ht="16.5" x14ac:dyDescent="0.45">
      <c r="A249" s="87" t="s">
        <v>1671</v>
      </c>
      <c r="B249" s="87"/>
      <c r="C249" s="87"/>
      <c r="D249" s="88"/>
      <c r="E249" s="88"/>
    </row>
    <row r="250" spans="1:5" ht="16" x14ac:dyDescent="0.45">
      <c r="A250" s="89"/>
      <c r="B250" s="89"/>
      <c r="C250" s="89"/>
      <c r="D250" s="90"/>
      <c r="E250" s="90"/>
    </row>
    <row r="251" spans="1:5" ht="16" x14ac:dyDescent="0.45">
      <c r="A251" s="89" t="s">
        <v>1475</v>
      </c>
      <c r="B251" s="89" t="s">
        <v>1476</v>
      </c>
      <c r="C251" s="89" t="s">
        <v>1477</v>
      </c>
      <c r="D251" s="91">
        <v>15</v>
      </c>
      <c r="E251" s="90" t="s">
        <v>1212</v>
      </c>
    </row>
    <row r="252" spans="1:5" ht="16" x14ac:dyDescent="0.45">
      <c r="A252" s="89"/>
      <c r="B252" s="89"/>
      <c r="C252" s="89" t="s">
        <v>1478</v>
      </c>
      <c r="D252" s="91">
        <v>15</v>
      </c>
      <c r="E252" s="90" t="s">
        <v>1320</v>
      </c>
    </row>
    <row r="253" spans="1:5" ht="16" x14ac:dyDescent="0.45">
      <c r="A253" s="196"/>
      <c r="B253" s="196"/>
      <c r="C253" s="196" t="s">
        <v>1479</v>
      </c>
      <c r="D253" s="197">
        <v>15</v>
      </c>
      <c r="E253" s="198" t="s">
        <v>1258</v>
      </c>
    </row>
    <row r="254" spans="1:5" ht="16" x14ac:dyDescent="0.45">
      <c r="A254" s="89"/>
      <c r="B254" s="89"/>
      <c r="C254" s="89" t="s">
        <v>1480</v>
      </c>
      <c r="D254" s="91">
        <v>15</v>
      </c>
      <c r="E254" s="90" t="s">
        <v>1212</v>
      </c>
    </row>
    <row r="255" spans="1:5" ht="16" x14ac:dyDescent="0.45">
      <c r="A255" s="89"/>
      <c r="B255" s="89" t="s">
        <v>1481</v>
      </c>
      <c r="C255" s="89" t="s">
        <v>1482</v>
      </c>
      <c r="D255" s="91">
        <v>15</v>
      </c>
      <c r="E255" s="90" t="s">
        <v>1316</v>
      </c>
    </row>
    <row r="256" spans="1:5" ht="16" x14ac:dyDescent="0.45">
      <c r="A256" s="89"/>
      <c r="B256" s="89"/>
      <c r="C256" s="89" t="s">
        <v>1483</v>
      </c>
      <c r="D256" s="91">
        <v>15</v>
      </c>
      <c r="E256" s="90" t="s">
        <v>1212</v>
      </c>
    </row>
    <row r="257" spans="1:5" ht="16" x14ac:dyDescent="0.45">
      <c r="A257" s="89"/>
      <c r="B257" s="89"/>
      <c r="C257" s="89" t="s">
        <v>1484</v>
      </c>
      <c r="D257" s="91">
        <v>15</v>
      </c>
      <c r="E257" s="90" t="s">
        <v>1320</v>
      </c>
    </row>
    <row r="258" spans="1:5" ht="16" x14ac:dyDescent="0.45">
      <c r="A258" s="89"/>
      <c r="B258" s="89"/>
      <c r="C258" s="89" t="s">
        <v>1485</v>
      </c>
      <c r="D258" s="91">
        <v>15</v>
      </c>
      <c r="E258" s="90" t="s">
        <v>1314</v>
      </c>
    </row>
    <row r="259" spans="1:5" ht="16" x14ac:dyDescent="0.45">
      <c r="A259" s="89"/>
      <c r="B259" s="89" t="s">
        <v>1486</v>
      </c>
      <c r="C259" s="89" t="s">
        <v>1487</v>
      </c>
      <c r="D259" s="91">
        <v>13</v>
      </c>
      <c r="E259" s="90" t="s">
        <v>1256</v>
      </c>
    </row>
    <row r="260" spans="1:5" ht="16" x14ac:dyDescent="0.45">
      <c r="A260" s="89"/>
      <c r="B260" s="89"/>
      <c r="C260" s="89" t="s">
        <v>1488</v>
      </c>
      <c r="D260" s="91">
        <v>13</v>
      </c>
      <c r="E260" s="90" t="s">
        <v>1212</v>
      </c>
    </row>
    <row r="261" spans="1:5" ht="16" x14ac:dyDescent="0.45">
      <c r="A261" s="89"/>
      <c r="B261" s="89"/>
      <c r="C261" s="89" t="s">
        <v>1489</v>
      </c>
      <c r="D261" s="91">
        <v>15</v>
      </c>
      <c r="E261" s="90" t="s">
        <v>1490</v>
      </c>
    </row>
    <row r="262" spans="1:5" ht="16" x14ac:dyDescent="0.45">
      <c r="A262" s="89"/>
      <c r="B262" s="89"/>
      <c r="C262" s="89"/>
      <c r="D262" s="90"/>
      <c r="E262" s="90"/>
    </row>
    <row r="263" spans="1:5" ht="16.5" x14ac:dyDescent="0.45">
      <c r="A263" s="87" t="s">
        <v>1672</v>
      </c>
      <c r="B263" s="87"/>
      <c r="C263" s="87"/>
      <c r="D263" s="88"/>
      <c r="E263" s="88"/>
    </row>
    <row r="264" spans="1:5" ht="16" x14ac:dyDescent="0.45">
      <c r="A264" s="89"/>
      <c r="B264" s="89"/>
      <c r="C264" s="89"/>
      <c r="D264" s="90"/>
      <c r="E264" s="90"/>
    </row>
    <row r="265" spans="1:5" ht="16" x14ac:dyDescent="0.45">
      <c r="A265" s="89" t="s">
        <v>1491</v>
      </c>
      <c r="B265" s="89" t="s">
        <v>1492</v>
      </c>
      <c r="C265" s="89" t="s">
        <v>1493</v>
      </c>
      <c r="D265" s="91">
        <v>13</v>
      </c>
      <c r="E265" s="90" t="s">
        <v>1161</v>
      </c>
    </row>
    <row r="266" spans="1:5" ht="16" x14ac:dyDescent="0.45">
      <c r="A266" s="89"/>
      <c r="B266" s="89"/>
      <c r="C266" s="89" t="s">
        <v>1494</v>
      </c>
      <c r="D266" s="91">
        <v>13</v>
      </c>
      <c r="E266" s="90" t="s">
        <v>1161</v>
      </c>
    </row>
    <row r="267" spans="1:5" ht="16" x14ac:dyDescent="0.45">
      <c r="A267" s="89"/>
      <c r="B267" s="89"/>
      <c r="C267" s="89" t="s">
        <v>1495</v>
      </c>
      <c r="D267" s="91">
        <v>10</v>
      </c>
      <c r="E267" s="90" t="s">
        <v>1181</v>
      </c>
    </row>
    <row r="268" spans="1:5" ht="16" x14ac:dyDescent="0.45">
      <c r="A268" s="89"/>
      <c r="B268" s="89"/>
      <c r="C268" s="89" t="s">
        <v>1496</v>
      </c>
      <c r="D268" s="91">
        <v>15</v>
      </c>
      <c r="E268" s="90" t="s">
        <v>1258</v>
      </c>
    </row>
    <row r="269" spans="1:5" ht="16" x14ac:dyDescent="0.45">
      <c r="A269" s="196"/>
      <c r="B269" s="196"/>
      <c r="C269" s="196" t="s">
        <v>1497</v>
      </c>
      <c r="D269" s="197">
        <v>13</v>
      </c>
      <c r="E269" s="198" t="s">
        <v>1163</v>
      </c>
    </row>
    <row r="270" spans="1:5" ht="16" x14ac:dyDescent="0.45">
      <c r="A270" s="89"/>
      <c r="B270" s="89" t="s">
        <v>1498</v>
      </c>
      <c r="C270" s="89" t="s">
        <v>1499</v>
      </c>
      <c r="D270" s="91">
        <v>13</v>
      </c>
      <c r="E270" s="90" t="s">
        <v>1161</v>
      </c>
    </row>
    <row r="271" spans="1:5" ht="16" x14ac:dyDescent="0.45">
      <c r="A271" s="89"/>
      <c r="B271" s="89"/>
      <c r="C271" s="89" t="s">
        <v>1500</v>
      </c>
      <c r="D271" s="91">
        <v>13</v>
      </c>
      <c r="E271" s="90" t="s">
        <v>1161</v>
      </c>
    </row>
    <row r="272" spans="1:5" ht="16" x14ac:dyDescent="0.45">
      <c r="A272" s="89"/>
      <c r="B272" s="89"/>
      <c r="C272" s="89" t="s">
        <v>1501</v>
      </c>
      <c r="D272" s="91">
        <v>10</v>
      </c>
      <c r="E272" s="90" t="s">
        <v>1181</v>
      </c>
    </row>
    <row r="273" spans="1:5" ht="16" x14ac:dyDescent="0.45">
      <c r="A273" s="89"/>
      <c r="B273" s="89"/>
      <c r="C273" s="89" t="s">
        <v>1502</v>
      </c>
      <c r="D273" s="91">
        <v>10</v>
      </c>
      <c r="E273" s="90" t="s">
        <v>1181</v>
      </c>
    </row>
    <row r="274" spans="1:5" ht="16" x14ac:dyDescent="0.45">
      <c r="A274" s="89"/>
      <c r="B274" s="89"/>
      <c r="C274" s="89" t="s">
        <v>1503</v>
      </c>
      <c r="D274" s="91">
        <v>7</v>
      </c>
      <c r="E274" s="90" t="s">
        <v>1195</v>
      </c>
    </row>
    <row r="275" spans="1:5" ht="16" x14ac:dyDescent="0.45">
      <c r="A275" s="89"/>
      <c r="B275" s="89" t="s">
        <v>180</v>
      </c>
      <c r="C275" s="89" t="s">
        <v>1504</v>
      </c>
      <c r="D275" s="91">
        <v>14</v>
      </c>
      <c r="E275" s="90" t="s">
        <v>1258</v>
      </c>
    </row>
    <row r="276" spans="1:5" ht="16" x14ac:dyDescent="0.45">
      <c r="A276" s="89"/>
      <c r="B276" s="89"/>
      <c r="C276" s="89" t="s">
        <v>1505</v>
      </c>
      <c r="D276" s="91">
        <v>14</v>
      </c>
      <c r="E276" s="90" t="s">
        <v>1163</v>
      </c>
    </row>
    <row r="277" spans="1:5" ht="16" x14ac:dyDescent="0.45">
      <c r="A277" s="89"/>
      <c r="B277" s="89"/>
      <c r="C277" s="89" t="s">
        <v>1506</v>
      </c>
      <c r="D277" s="91">
        <v>15</v>
      </c>
      <c r="E277" s="90" t="s">
        <v>1349</v>
      </c>
    </row>
    <row r="278" spans="1:5" ht="16" x14ac:dyDescent="0.45">
      <c r="A278" s="89"/>
      <c r="B278" s="89"/>
      <c r="C278" s="89" t="s">
        <v>1507</v>
      </c>
      <c r="D278" s="91">
        <v>12</v>
      </c>
      <c r="E278" s="90" t="s">
        <v>1161</v>
      </c>
    </row>
    <row r="279" spans="1:5" ht="16" x14ac:dyDescent="0.45">
      <c r="A279" s="89"/>
      <c r="B279" s="89"/>
      <c r="C279" s="89" t="s">
        <v>1508</v>
      </c>
      <c r="D279" s="91">
        <v>12</v>
      </c>
      <c r="E279" s="90" t="s">
        <v>1161</v>
      </c>
    </row>
    <row r="280" spans="1:5" ht="16" x14ac:dyDescent="0.45">
      <c r="A280" s="89"/>
      <c r="B280" s="89"/>
      <c r="C280" s="89"/>
      <c r="D280" s="90"/>
      <c r="E280" s="90"/>
    </row>
    <row r="281" spans="1:5" ht="16.5" x14ac:dyDescent="0.45">
      <c r="A281" s="87" t="s">
        <v>1673</v>
      </c>
      <c r="B281" s="87"/>
      <c r="C281" s="87"/>
      <c r="D281" s="88"/>
      <c r="E281" s="88"/>
    </row>
    <row r="282" spans="1:5" ht="16" x14ac:dyDescent="0.45">
      <c r="A282" s="89"/>
      <c r="B282" s="89"/>
      <c r="C282" s="89"/>
      <c r="D282" s="90"/>
      <c r="E282" s="90"/>
    </row>
    <row r="283" spans="1:5" ht="16" x14ac:dyDescent="0.45">
      <c r="A283" s="89" t="s">
        <v>1509</v>
      </c>
      <c r="B283" s="89" t="s">
        <v>1510</v>
      </c>
      <c r="C283" s="89" t="s">
        <v>1511</v>
      </c>
      <c r="D283" s="91">
        <v>10</v>
      </c>
      <c r="E283" s="90" t="s">
        <v>1512</v>
      </c>
    </row>
    <row r="284" spans="1:5" ht="16" x14ac:dyDescent="0.45">
      <c r="A284" s="89"/>
      <c r="B284" s="89"/>
      <c r="C284" s="89" t="s">
        <v>1513</v>
      </c>
      <c r="D284" s="91">
        <v>12</v>
      </c>
      <c r="E284" s="90" t="s">
        <v>1514</v>
      </c>
    </row>
    <row r="285" spans="1:5" ht="16" x14ac:dyDescent="0.45">
      <c r="A285" s="89"/>
      <c r="B285" s="89"/>
      <c r="C285" s="89" t="s">
        <v>1515</v>
      </c>
      <c r="D285" s="91">
        <v>13</v>
      </c>
      <c r="E285" s="90" t="s">
        <v>1516</v>
      </c>
    </row>
    <row r="286" spans="1:5" ht="16" x14ac:dyDescent="0.45">
      <c r="A286" s="89"/>
      <c r="B286" s="89"/>
      <c r="C286" s="89" t="s">
        <v>1517</v>
      </c>
      <c r="D286" s="91">
        <v>12</v>
      </c>
      <c r="E286" s="90" t="s">
        <v>1181</v>
      </c>
    </row>
    <row r="287" spans="1:5" ht="16" x14ac:dyDescent="0.45">
      <c r="A287" s="196"/>
      <c r="B287" s="196"/>
      <c r="C287" s="196" t="s">
        <v>1518</v>
      </c>
      <c r="D287" s="197">
        <v>10</v>
      </c>
      <c r="E287" s="198" t="s">
        <v>1195</v>
      </c>
    </row>
    <row r="288" spans="1:5" ht="16" x14ac:dyDescent="0.45">
      <c r="A288" s="89"/>
      <c r="B288" s="89"/>
      <c r="C288" s="89" t="s">
        <v>1519</v>
      </c>
      <c r="D288" s="91">
        <v>9</v>
      </c>
      <c r="E288" s="90" t="s">
        <v>1520</v>
      </c>
    </row>
    <row r="289" spans="1:5" ht="16" x14ac:dyDescent="0.45">
      <c r="A289" s="89"/>
      <c r="B289" s="89" t="s">
        <v>1521</v>
      </c>
      <c r="C289" s="89" t="s">
        <v>1522</v>
      </c>
      <c r="D289" s="91">
        <v>13</v>
      </c>
      <c r="E289" s="90" t="s">
        <v>1516</v>
      </c>
    </row>
    <row r="290" spans="1:5" ht="16" x14ac:dyDescent="0.45">
      <c r="A290" s="89"/>
      <c r="B290" s="89"/>
      <c r="C290" s="89" t="s">
        <v>1523</v>
      </c>
      <c r="D290" s="91">
        <v>15</v>
      </c>
      <c r="E290" s="90" t="s">
        <v>1524</v>
      </c>
    </row>
    <row r="291" spans="1:5" ht="16" x14ac:dyDescent="0.45">
      <c r="A291" s="89"/>
      <c r="B291" s="89"/>
      <c r="C291" s="89" t="s">
        <v>1525</v>
      </c>
      <c r="D291" s="91">
        <v>12</v>
      </c>
      <c r="E291" s="90" t="s">
        <v>1181</v>
      </c>
    </row>
    <row r="292" spans="1:5" ht="16" x14ac:dyDescent="0.45">
      <c r="A292" s="89"/>
      <c r="B292" s="89"/>
      <c r="C292" s="89" t="s">
        <v>1526</v>
      </c>
      <c r="D292" s="91">
        <v>13</v>
      </c>
      <c r="E292" s="90" t="s">
        <v>1161</v>
      </c>
    </row>
    <row r="293" spans="1:5" ht="16" x14ac:dyDescent="0.45">
      <c r="A293" s="89"/>
      <c r="B293" s="89" t="s">
        <v>1040</v>
      </c>
      <c r="C293" s="89" t="s">
        <v>1527</v>
      </c>
      <c r="D293" s="91">
        <v>10</v>
      </c>
      <c r="E293" s="90" t="s">
        <v>1514</v>
      </c>
    </row>
    <row r="294" spans="1:5" ht="16" x14ac:dyDescent="0.45">
      <c r="A294" s="89"/>
      <c r="B294" s="89"/>
      <c r="C294" s="89" t="s">
        <v>1528</v>
      </c>
      <c r="D294" s="91">
        <v>10</v>
      </c>
      <c r="E294" s="90" t="s">
        <v>1529</v>
      </c>
    </row>
    <row r="295" spans="1:5" ht="16" x14ac:dyDescent="0.45">
      <c r="A295" s="89"/>
      <c r="B295" s="89"/>
      <c r="C295" s="89" t="s">
        <v>1530</v>
      </c>
      <c r="D295" s="91">
        <v>12</v>
      </c>
      <c r="E295" s="90" t="s">
        <v>1531</v>
      </c>
    </row>
    <row r="296" spans="1:5" ht="16" x14ac:dyDescent="0.45">
      <c r="A296" s="89"/>
      <c r="B296" s="89"/>
      <c r="C296" s="89"/>
      <c r="D296" s="90"/>
      <c r="E296" s="90"/>
    </row>
    <row r="297" spans="1:5" ht="16.5" x14ac:dyDescent="0.45">
      <c r="A297" s="87" t="s">
        <v>1674</v>
      </c>
      <c r="B297" s="87"/>
      <c r="C297" s="87"/>
      <c r="D297" s="88"/>
      <c r="E297" s="88"/>
    </row>
    <row r="298" spans="1:5" ht="16" x14ac:dyDescent="0.45">
      <c r="A298" s="89"/>
      <c r="B298" s="89"/>
      <c r="C298" s="89"/>
      <c r="D298" s="90"/>
      <c r="E298" s="90"/>
    </row>
    <row r="299" spans="1:5" ht="16" x14ac:dyDescent="0.45">
      <c r="A299" s="89" t="s">
        <v>955</v>
      </c>
      <c r="B299" s="89" t="s">
        <v>1532</v>
      </c>
      <c r="C299" s="89" t="s">
        <v>1533</v>
      </c>
      <c r="D299" s="91">
        <v>15</v>
      </c>
      <c r="E299" s="90" t="s">
        <v>1174</v>
      </c>
    </row>
    <row r="300" spans="1:5" ht="16" x14ac:dyDescent="0.45">
      <c r="A300" s="89"/>
      <c r="B300" s="89"/>
      <c r="C300" s="89" t="s">
        <v>1534</v>
      </c>
      <c r="D300" s="91">
        <v>15</v>
      </c>
      <c r="E300" s="90" t="s">
        <v>1163</v>
      </c>
    </row>
    <row r="301" spans="1:5" ht="16" x14ac:dyDescent="0.45">
      <c r="A301" s="89"/>
      <c r="B301" s="89"/>
      <c r="C301" s="89" t="s">
        <v>1535</v>
      </c>
      <c r="D301" s="91">
        <v>15</v>
      </c>
      <c r="E301" s="90" t="s">
        <v>1161</v>
      </c>
    </row>
    <row r="302" spans="1:5" ht="16" x14ac:dyDescent="0.45">
      <c r="A302" s="89"/>
      <c r="B302" s="89"/>
      <c r="C302" s="89" t="s">
        <v>1536</v>
      </c>
      <c r="D302" s="91">
        <v>15</v>
      </c>
      <c r="E302" s="90" t="s">
        <v>1163</v>
      </c>
    </row>
    <row r="303" spans="1:5" ht="16" x14ac:dyDescent="0.45">
      <c r="A303" s="196"/>
      <c r="B303" s="196"/>
      <c r="C303" s="196" t="s">
        <v>1537</v>
      </c>
      <c r="D303" s="197">
        <v>15</v>
      </c>
      <c r="E303" s="198" t="s">
        <v>1258</v>
      </c>
    </row>
    <row r="304" spans="1:5" ht="16" x14ac:dyDescent="0.45">
      <c r="A304" s="89"/>
      <c r="B304" s="89" t="s">
        <v>1538</v>
      </c>
      <c r="C304" s="89" t="s">
        <v>1539</v>
      </c>
      <c r="D304" s="91">
        <v>15</v>
      </c>
      <c r="E304" s="90" t="s">
        <v>1161</v>
      </c>
    </row>
    <row r="305" spans="1:5" ht="16" x14ac:dyDescent="0.45">
      <c r="A305" s="89"/>
      <c r="B305" s="89"/>
      <c r="C305" s="89" t="s">
        <v>1540</v>
      </c>
      <c r="D305" s="91">
        <v>15</v>
      </c>
      <c r="E305" s="90" t="s">
        <v>1258</v>
      </c>
    </row>
    <row r="306" spans="1:5" ht="16" x14ac:dyDescent="0.45">
      <c r="A306" s="89"/>
      <c r="B306" s="89"/>
      <c r="C306" s="89" t="s">
        <v>1541</v>
      </c>
      <c r="D306" s="91">
        <v>15</v>
      </c>
      <c r="E306" s="90" t="s">
        <v>1163</v>
      </c>
    </row>
    <row r="307" spans="1:5" ht="16" x14ac:dyDescent="0.45">
      <c r="A307" s="89"/>
      <c r="B307" s="89"/>
      <c r="C307" s="89" t="s">
        <v>1542</v>
      </c>
      <c r="D307" s="91">
        <v>15</v>
      </c>
      <c r="E307" s="90" t="s">
        <v>1258</v>
      </c>
    </row>
    <row r="308" spans="1:5" ht="16" x14ac:dyDescent="0.45">
      <c r="A308" s="89"/>
      <c r="B308" s="89" t="s">
        <v>1543</v>
      </c>
      <c r="C308" s="89" t="s">
        <v>1544</v>
      </c>
      <c r="D308" s="91">
        <v>12</v>
      </c>
      <c r="E308" s="90" t="s">
        <v>1545</v>
      </c>
    </row>
    <row r="309" spans="1:5" ht="16" x14ac:dyDescent="0.45">
      <c r="A309" s="89"/>
      <c r="B309" s="89"/>
      <c r="C309" s="89" t="s">
        <v>1546</v>
      </c>
      <c r="D309" s="91">
        <v>13</v>
      </c>
      <c r="E309" s="90" t="s">
        <v>1161</v>
      </c>
    </row>
    <row r="310" spans="1:5" ht="16" x14ac:dyDescent="0.45">
      <c r="A310" s="89"/>
      <c r="B310" s="89"/>
      <c r="C310" s="89" t="s">
        <v>1547</v>
      </c>
      <c r="D310" s="91">
        <v>10</v>
      </c>
      <c r="E310" s="90" t="s">
        <v>1181</v>
      </c>
    </row>
    <row r="311" spans="1:5" ht="16" x14ac:dyDescent="0.45">
      <c r="A311" s="89"/>
      <c r="B311" s="89"/>
      <c r="C311" s="89" t="s">
        <v>1548</v>
      </c>
      <c r="D311" s="91">
        <v>12</v>
      </c>
      <c r="E311" s="90" t="s">
        <v>1161</v>
      </c>
    </row>
    <row r="312" spans="1:5" ht="16" x14ac:dyDescent="0.45">
      <c r="A312" s="89"/>
      <c r="B312" s="89"/>
      <c r="C312" s="89"/>
      <c r="D312" s="90"/>
      <c r="E312" s="90"/>
    </row>
    <row r="313" spans="1:5" ht="16.5" x14ac:dyDescent="0.45">
      <c r="A313" s="87" t="s">
        <v>1675</v>
      </c>
      <c r="B313" s="87"/>
      <c r="C313" s="87"/>
      <c r="D313" s="88"/>
      <c r="E313" s="88"/>
    </row>
    <row r="314" spans="1:5" ht="16" x14ac:dyDescent="0.45">
      <c r="A314" s="89"/>
      <c r="B314" s="89"/>
      <c r="C314" s="89"/>
      <c r="D314" s="90"/>
      <c r="E314" s="90"/>
    </row>
    <row r="315" spans="1:5" ht="16" x14ac:dyDescent="0.45">
      <c r="A315" s="89" t="s">
        <v>1549</v>
      </c>
      <c r="B315" s="89" t="s">
        <v>1550</v>
      </c>
      <c r="C315" s="89" t="s">
        <v>1551</v>
      </c>
      <c r="D315" s="91">
        <v>5</v>
      </c>
      <c r="E315" s="90" t="s">
        <v>1552</v>
      </c>
    </row>
    <row r="316" spans="1:5" ht="16" x14ac:dyDescent="0.45">
      <c r="A316" s="89"/>
      <c r="B316" s="89"/>
      <c r="C316" s="89" t="s">
        <v>1553</v>
      </c>
      <c r="D316" s="91">
        <v>6</v>
      </c>
      <c r="E316" s="90" t="s">
        <v>1554</v>
      </c>
    </row>
    <row r="317" spans="1:5" ht="16" x14ac:dyDescent="0.45">
      <c r="A317" s="89"/>
      <c r="B317" s="89"/>
      <c r="C317" s="89" t="s">
        <v>1555</v>
      </c>
      <c r="D317" s="91">
        <v>6</v>
      </c>
      <c r="E317" s="90" t="s">
        <v>1554</v>
      </c>
    </row>
    <row r="318" spans="1:5" ht="16" x14ac:dyDescent="0.45">
      <c r="A318" s="89"/>
      <c r="B318" s="89"/>
      <c r="C318" s="89" t="s">
        <v>1556</v>
      </c>
      <c r="D318" s="91">
        <v>6</v>
      </c>
      <c r="E318" s="90" t="s">
        <v>1557</v>
      </c>
    </row>
    <row r="319" spans="1:5" ht="16" x14ac:dyDescent="0.45">
      <c r="A319" s="89"/>
      <c r="B319" s="89"/>
      <c r="C319" s="89" t="s">
        <v>1558</v>
      </c>
      <c r="D319" s="91">
        <v>5</v>
      </c>
      <c r="E319" s="90" t="s">
        <v>1184</v>
      </c>
    </row>
    <row r="320" spans="1:5" ht="16" x14ac:dyDescent="0.45">
      <c r="A320" s="89"/>
      <c r="B320" s="89" t="s">
        <v>1559</v>
      </c>
      <c r="C320" s="89" t="s">
        <v>1560</v>
      </c>
      <c r="D320" s="91">
        <v>5</v>
      </c>
      <c r="E320" s="90" t="s">
        <v>1561</v>
      </c>
    </row>
    <row r="321" spans="1:5" ht="16" x14ac:dyDescent="0.45">
      <c r="A321" s="89"/>
      <c r="B321" s="89"/>
      <c r="C321" s="89" t="s">
        <v>1562</v>
      </c>
      <c r="D321" s="91">
        <v>8</v>
      </c>
      <c r="E321" s="90" t="s">
        <v>1195</v>
      </c>
    </row>
    <row r="322" spans="1:5" ht="16" x14ac:dyDescent="0.45">
      <c r="A322" s="89"/>
      <c r="B322" s="89"/>
      <c r="C322" s="89" t="s">
        <v>1563</v>
      </c>
      <c r="D322" s="91">
        <v>8</v>
      </c>
      <c r="E322" s="90" t="s">
        <v>1239</v>
      </c>
    </row>
    <row r="323" spans="1:5" ht="16" x14ac:dyDescent="0.45">
      <c r="A323" s="89"/>
      <c r="B323" s="89"/>
      <c r="C323" s="89" t="s">
        <v>1564</v>
      </c>
      <c r="D323" s="91">
        <v>6</v>
      </c>
      <c r="E323" s="90" t="s">
        <v>1557</v>
      </c>
    </row>
    <row r="324" spans="1:5" ht="16" x14ac:dyDescent="0.45">
      <c r="A324" s="89"/>
      <c r="B324" s="89" t="s">
        <v>1071</v>
      </c>
      <c r="C324" s="89" t="s">
        <v>1565</v>
      </c>
      <c r="D324" s="91">
        <v>8</v>
      </c>
      <c r="E324" s="90" t="s">
        <v>1566</v>
      </c>
    </row>
    <row r="325" spans="1:5" ht="16" x14ac:dyDescent="0.45">
      <c r="A325" s="196"/>
      <c r="B325" s="196"/>
      <c r="C325" s="196" t="s">
        <v>1567</v>
      </c>
      <c r="D325" s="197">
        <v>7</v>
      </c>
      <c r="E325" s="198" t="s">
        <v>1512</v>
      </c>
    </row>
    <row r="326" spans="1:5" ht="16" x14ac:dyDescent="0.45">
      <c r="A326" s="89"/>
      <c r="B326" s="89"/>
      <c r="C326" s="89" t="s">
        <v>1568</v>
      </c>
      <c r="D326" s="91">
        <v>7</v>
      </c>
      <c r="E326" s="90" t="s">
        <v>1569</v>
      </c>
    </row>
    <row r="327" spans="1:5" ht="16" x14ac:dyDescent="0.45">
      <c r="A327" s="89"/>
      <c r="B327" s="89"/>
      <c r="C327" s="89" t="s">
        <v>1570</v>
      </c>
      <c r="D327" s="91">
        <v>7</v>
      </c>
      <c r="E327" s="90" t="s">
        <v>1195</v>
      </c>
    </row>
    <row r="328" spans="1:5" ht="16" x14ac:dyDescent="0.45">
      <c r="A328" s="89"/>
      <c r="B328" s="89"/>
      <c r="C328" s="89" t="s">
        <v>1571</v>
      </c>
      <c r="D328" s="91">
        <v>8</v>
      </c>
      <c r="E328" s="90" t="s">
        <v>1572</v>
      </c>
    </row>
    <row r="329" spans="1:5" ht="16" x14ac:dyDescent="0.45">
      <c r="A329" s="89"/>
      <c r="B329" s="89"/>
      <c r="C329" s="89"/>
      <c r="D329" s="90"/>
      <c r="E329" s="90"/>
    </row>
    <row r="330" spans="1:5" ht="16" x14ac:dyDescent="0.45">
      <c r="A330" s="89"/>
      <c r="B330" s="89"/>
      <c r="C330" s="89"/>
      <c r="D330" s="90"/>
      <c r="E330" s="90"/>
    </row>
    <row r="331" spans="1:5" ht="16" x14ac:dyDescent="0.45">
      <c r="A331" s="89" t="s">
        <v>1573</v>
      </c>
      <c r="B331" s="89"/>
      <c r="C331" s="89"/>
      <c r="D331" s="90"/>
      <c r="E331" s="90"/>
    </row>
    <row r="332" spans="1:5" ht="16" x14ac:dyDescent="0.45">
      <c r="A332" s="92" t="s">
        <v>1574</v>
      </c>
      <c r="B332" s="92"/>
      <c r="C332" s="92"/>
      <c r="D332" s="93"/>
      <c r="E332" s="93"/>
    </row>
    <row r="333" spans="1:5" ht="16" x14ac:dyDescent="0.45">
      <c r="A333" s="89"/>
      <c r="B333" s="89"/>
      <c r="C333" s="89"/>
      <c r="D333" s="90"/>
      <c r="E333" s="90"/>
    </row>
    <row r="334" spans="1:5" ht="16" x14ac:dyDescent="0.45">
      <c r="A334" s="94" t="s">
        <v>1132</v>
      </c>
      <c r="B334" s="94" t="s">
        <v>1575</v>
      </c>
      <c r="C334" s="94" t="s">
        <v>1576</v>
      </c>
      <c r="D334" s="90"/>
      <c r="E334" s="90"/>
    </row>
    <row r="335" spans="1:5" ht="16.5" x14ac:dyDescent="0.45">
      <c r="A335" s="87" t="s">
        <v>1663</v>
      </c>
      <c r="B335" s="87">
        <v>10</v>
      </c>
      <c r="C335" s="87" t="s">
        <v>1577</v>
      </c>
      <c r="D335" s="88"/>
      <c r="E335" s="88"/>
    </row>
    <row r="336" spans="1:5" ht="16.5" x14ac:dyDescent="0.45">
      <c r="A336" s="87" t="s">
        <v>1664</v>
      </c>
      <c r="B336" s="87">
        <v>5</v>
      </c>
      <c r="C336" s="87" t="s">
        <v>1578</v>
      </c>
      <c r="D336" s="88"/>
      <c r="E336" s="88"/>
    </row>
    <row r="337" spans="1:5" ht="16.5" x14ac:dyDescent="0.45">
      <c r="A337" s="87" t="s">
        <v>1665</v>
      </c>
      <c r="B337" s="87">
        <v>7</v>
      </c>
      <c r="C337" s="87" t="s">
        <v>1579</v>
      </c>
      <c r="D337" s="88"/>
      <c r="E337" s="88"/>
    </row>
    <row r="338" spans="1:5" ht="16.5" x14ac:dyDescent="0.45">
      <c r="A338" s="87" t="s">
        <v>1666</v>
      </c>
      <c r="B338" s="87">
        <v>4</v>
      </c>
      <c r="C338" s="87" t="s">
        <v>1580</v>
      </c>
      <c r="D338" s="88"/>
      <c r="E338" s="88"/>
    </row>
    <row r="339" spans="1:5" ht="16.5" x14ac:dyDescent="0.45">
      <c r="A339" s="87" t="s">
        <v>1667</v>
      </c>
      <c r="B339" s="87">
        <v>4</v>
      </c>
      <c r="C339" s="87" t="s">
        <v>1581</v>
      </c>
      <c r="D339" s="88"/>
      <c r="E339" s="88"/>
    </row>
    <row r="340" spans="1:5" ht="16.5" x14ac:dyDescent="0.45">
      <c r="A340" s="87" t="s">
        <v>1668</v>
      </c>
      <c r="B340" s="87">
        <v>6</v>
      </c>
      <c r="C340" s="87" t="s">
        <v>1582</v>
      </c>
      <c r="D340" s="88"/>
      <c r="E340" s="88"/>
    </row>
    <row r="341" spans="1:5" ht="16.5" x14ac:dyDescent="0.45">
      <c r="A341" s="87" t="s">
        <v>1669</v>
      </c>
      <c r="B341" s="87">
        <v>5</v>
      </c>
      <c r="C341" s="87" t="s">
        <v>1583</v>
      </c>
      <c r="D341" s="88"/>
      <c r="E341" s="88"/>
    </row>
    <row r="342" spans="1:5" ht="16.5" x14ac:dyDescent="0.45">
      <c r="A342" s="87" t="s">
        <v>1670</v>
      </c>
      <c r="B342" s="87">
        <v>4</v>
      </c>
      <c r="C342" s="87" t="s">
        <v>1584</v>
      </c>
      <c r="D342" s="88"/>
      <c r="E342" s="88"/>
    </row>
    <row r="343" spans="1:5" ht="16.5" x14ac:dyDescent="0.45">
      <c r="A343" s="87" t="s">
        <v>1671</v>
      </c>
      <c r="B343" s="87">
        <v>3</v>
      </c>
      <c r="C343" s="87" t="s">
        <v>1585</v>
      </c>
      <c r="D343" s="88"/>
      <c r="E343" s="88"/>
    </row>
    <row r="344" spans="1:5" ht="16.5" x14ac:dyDescent="0.45">
      <c r="A344" s="87" t="s">
        <v>1672</v>
      </c>
      <c r="B344" s="87">
        <v>3</v>
      </c>
      <c r="C344" s="87" t="s">
        <v>1586</v>
      </c>
      <c r="D344" s="88"/>
      <c r="E344" s="88"/>
    </row>
    <row r="345" spans="1:5" ht="16.5" x14ac:dyDescent="0.45">
      <c r="A345" s="87" t="s">
        <v>1673</v>
      </c>
      <c r="B345" s="87">
        <v>3</v>
      </c>
      <c r="C345" s="87" t="s">
        <v>1587</v>
      </c>
      <c r="D345" s="88"/>
      <c r="E345" s="88"/>
    </row>
    <row r="346" spans="1:5" ht="16.5" x14ac:dyDescent="0.45">
      <c r="A346" s="87" t="s">
        <v>1674</v>
      </c>
      <c r="B346" s="87">
        <v>3</v>
      </c>
      <c r="C346" s="87" t="s">
        <v>1587</v>
      </c>
      <c r="D346" s="88"/>
      <c r="E346" s="88"/>
    </row>
    <row r="347" spans="1:5" ht="16.5" x14ac:dyDescent="0.45">
      <c r="A347" s="87" t="s">
        <v>1675</v>
      </c>
      <c r="B347" s="87">
        <v>3</v>
      </c>
      <c r="C347" s="87" t="s">
        <v>1588</v>
      </c>
      <c r="D347" s="88"/>
      <c r="E347" s="88"/>
    </row>
    <row r="348" spans="1:5" ht="16" x14ac:dyDescent="0.45">
      <c r="A348" s="89"/>
      <c r="B348" s="89"/>
      <c r="C348" s="89"/>
      <c r="D348" s="90"/>
      <c r="E348" s="90"/>
    </row>
    <row r="349" spans="1:5" ht="16.5" x14ac:dyDescent="0.45">
      <c r="A349" s="95" t="s">
        <v>1667</v>
      </c>
      <c r="B349" s="95" t="s">
        <v>1589</v>
      </c>
      <c r="C349" s="95" t="s">
        <v>1590</v>
      </c>
      <c r="D349" s="96"/>
      <c r="E349" s="96"/>
    </row>
    <row r="350" spans="1:5" ht="16" x14ac:dyDescent="0.45">
      <c r="A350" s="41"/>
      <c r="B350" s="41"/>
      <c r="C350" s="41"/>
      <c r="D350" s="42"/>
      <c r="E350" s="42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8D0D-6E92-4345-9700-D8BD072A3FAE}">
  <dimension ref="A1:K85"/>
  <sheetViews>
    <sheetView zoomScale="81" zoomScaleNormal="81" workbookViewId="0">
      <pane ySplit="3" topLeftCell="A4" activePane="bottomLeft" state="frozen"/>
      <selection pane="bottomLeft" activeCell="B7" sqref="B7"/>
    </sheetView>
  </sheetViews>
  <sheetFormatPr defaultRowHeight="14.5" x14ac:dyDescent="0.35"/>
  <cols>
    <col min="1" max="1" width="23.6328125" customWidth="1"/>
    <col min="2" max="2" width="25.453125" customWidth="1"/>
    <col min="3" max="3" width="32.7265625" customWidth="1"/>
    <col min="4" max="4" width="16.36328125" customWidth="1"/>
    <col min="6" max="6" width="29.08984375" customWidth="1"/>
    <col min="7" max="7" width="14.54296875" customWidth="1"/>
    <col min="8" max="10" width="12.7265625" customWidth="1"/>
    <col min="11" max="11" width="14.54296875" customWidth="1"/>
  </cols>
  <sheetData>
    <row r="1" spans="1:11" ht="35" customHeight="1" x14ac:dyDescent="0.5">
      <c r="A1" s="247" t="s">
        <v>1754</v>
      </c>
      <c r="B1" s="234"/>
      <c r="C1" s="234"/>
      <c r="D1" s="234"/>
      <c r="E1" s="234"/>
      <c r="F1" s="234"/>
      <c r="G1" s="234"/>
      <c r="H1" s="234"/>
    </row>
    <row r="2" spans="1:11" x14ac:dyDescent="0.35">
      <c r="A2" s="249" t="s">
        <v>1790</v>
      </c>
      <c r="B2" s="236"/>
      <c r="C2" s="236"/>
      <c r="D2" s="236"/>
      <c r="E2" s="236"/>
      <c r="F2" s="236"/>
      <c r="G2" s="236"/>
      <c r="H2" s="236"/>
    </row>
    <row r="3" spans="1:11" x14ac:dyDescent="0.35">
      <c r="A3" s="164" t="str">
        <f>"Service: "&amp;B7</f>
        <v>Service: Business Website (5-10pg)</v>
      </c>
      <c r="B3" s="164" t="str">
        <f>B7</f>
        <v>Business Website (5-10pg)</v>
      </c>
      <c r="C3" s="164" t="str">
        <f>IF(AND(IFERROR(VLOOKUP(B7,F6:K60,4,FALSE),0)=0,IFERROR(VLOOKUP(B7,F6:K60,5,FALSE),0)=0),"Fixed: "&amp;IFERROR(VLOOKUP(B7,F6:K60,3,FALSE),0)&amp;" hrs @ $"&amp;IFERROR(VLOOKUP(B7,F6:K60,2,FALSE),0)&amp;"/hr","Variable: "&amp;IFERROR(VLOOKUP(B7,F6:K60,4,FALSE),0)&amp;" hrs/page + "&amp;IFERROR(VLOOKUP(B7,F6:K60,5,FALSE),0)&amp;" hrs/feature @ $"&amp;IFERROR(VLOOKUP(B7,F6:K60,2,FALSE),0)&amp;"/hr")</f>
        <v>Variable: 4 hrs/page + 6 hrs/feature @ $10/hr</v>
      </c>
      <c r="D3" s="154">
        <f>B31</f>
        <v>44</v>
      </c>
      <c r="E3" s="164" t="s">
        <v>1746</v>
      </c>
      <c r="F3" s="200">
        <f>B39</f>
        <v>580</v>
      </c>
      <c r="G3" s="164" t="s">
        <v>1747</v>
      </c>
      <c r="H3" s="199">
        <f>B54</f>
        <v>967</v>
      </c>
    </row>
    <row r="4" spans="1:11" ht="16" x14ac:dyDescent="0.4">
      <c r="A4" s="253" t="s">
        <v>1791</v>
      </c>
      <c r="B4" s="241"/>
      <c r="C4" s="241"/>
      <c r="D4" s="241"/>
      <c r="F4" s="241"/>
      <c r="G4" s="241"/>
      <c r="H4" s="241"/>
      <c r="I4" s="241"/>
      <c r="J4" s="241"/>
      <c r="K4" s="241"/>
    </row>
    <row r="5" spans="1:11" x14ac:dyDescent="0.35">
      <c r="F5" s="157" t="s">
        <v>1804</v>
      </c>
      <c r="G5" s="157" t="s">
        <v>100</v>
      </c>
      <c r="H5" s="157" t="s">
        <v>1871</v>
      </c>
      <c r="I5" s="157" t="s">
        <v>1872</v>
      </c>
      <c r="J5" s="157" t="s">
        <v>1873</v>
      </c>
      <c r="K5" s="157" t="s">
        <v>722</v>
      </c>
    </row>
    <row r="6" spans="1:11" x14ac:dyDescent="0.35">
      <c r="A6" s="50" t="s">
        <v>1792</v>
      </c>
      <c r="B6" s="201" t="s">
        <v>2165</v>
      </c>
      <c r="F6" t="s">
        <v>1154</v>
      </c>
      <c r="G6" s="20">
        <v>8</v>
      </c>
      <c r="H6">
        <v>6</v>
      </c>
      <c r="I6">
        <v>0</v>
      </c>
      <c r="J6">
        <v>0</v>
      </c>
      <c r="K6" s="20">
        <v>0</v>
      </c>
    </row>
    <row r="7" spans="1:11" x14ac:dyDescent="0.35">
      <c r="A7" s="50" t="s">
        <v>1755</v>
      </c>
      <c r="B7" s="202" t="s">
        <v>1760</v>
      </c>
      <c r="F7" t="s">
        <v>860</v>
      </c>
      <c r="G7" s="20">
        <v>8</v>
      </c>
      <c r="H7">
        <v>12</v>
      </c>
      <c r="I7">
        <v>0</v>
      </c>
      <c r="J7">
        <v>3</v>
      </c>
      <c r="K7" s="20">
        <v>30</v>
      </c>
    </row>
    <row r="8" spans="1:11" x14ac:dyDescent="0.35">
      <c r="A8" s="50" t="s">
        <v>1876</v>
      </c>
      <c r="B8" t="str">
        <f>IF(B7="","",IF(AND(IFERROR(VLOOKUP(B7,$F$6:$K$60,4,FALSE),0)=0,IFERROR(VLOOKUP(B7,$F$6:$K$60,5,FALSE),0)=0),"Fixed Scope Service",IF(AND(IFERROR(VLOOKUP(B7,$F$6:$K$60,4,FALSE),0)&gt;0,IFERROR(VLOOKUP(B7,$F$6:$K$60,5,FALSE),0)&gt;0),"Page + Feature Based",IF(IFERROR(VLOOKUP(B7,$F$6:$K$60,4,FALSE),0)&gt;0,"Page/Item Based","Feature Based"))))</f>
        <v>Page + Feature Based</v>
      </c>
      <c r="C8" s="143" t="str">
        <f>IF(VLOOKUP(B7,ServiceDB,4,FALSE)&gt;0,"✓ Per-Page pricing","")&amp;IF(AND(VLOOKUP(B7,ServiceDB,4,FALSE)&gt;0,VLOOKUP(B7,ServiceDB,5,FALSE)&gt;0)," | ","")&amp;IF(VLOOKUP(B7,ServiceDB,5,FALSE)&gt;0,"✓ Per-Feature pricing","")&amp;IF(VLOOKUP(B7,ServiceDB,6,FALSE)&gt;0," | ✓ Setup fee: $"&amp;VLOOKUP(B7,ServiceDB,6,FALSE),"")</f>
        <v>✓ Per-Page pricing | ✓ Per-Feature pricing | ✓ Setup fee: $30</v>
      </c>
      <c r="D8" s="144" t="str">
        <f>IF(B7&lt;&gt;"","Total Est: "&amp;IF(AND(B11=0,B12=0),IFERROR(VLOOKUP(B7,F6:K60,3,FALSE),0),B11*IFERROR(VLOOKUP(B7,F6:K60,4,FALSE),0)+B12*IFERROR(VLOOKUP(B7,F6:K60,5,FALSE),0))&amp;" hrs","Select a service")</f>
        <v>Total Est: 44 hrs</v>
      </c>
      <c r="F8" t="s">
        <v>1170</v>
      </c>
      <c r="G8" s="20">
        <v>5</v>
      </c>
      <c r="H8">
        <v>2</v>
      </c>
      <c r="I8">
        <v>0</v>
      </c>
      <c r="J8">
        <v>2</v>
      </c>
      <c r="K8" s="20">
        <v>0</v>
      </c>
    </row>
    <row r="9" spans="1:11" ht="16" x14ac:dyDescent="0.4">
      <c r="A9" s="253" t="s">
        <v>1756</v>
      </c>
      <c r="B9" s="241"/>
      <c r="C9" s="241"/>
      <c r="D9" s="241"/>
      <c r="F9" t="s">
        <v>1182</v>
      </c>
      <c r="G9" s="20">
        <v>5</v>
      </c>
      <c r="H9">
        <v>1</v>
      </c>
      <c r="I9">
        <v>0</v>
      </c>
      <c r="J9">
        <v>0</v>
      </c>
      <c r="K9" s="20">
        <v>0</v>
      </c>
    </row>
    <row r="10" spans="1:11" x14ac:dyDescent="0.35">
      <c r="F10" t="s">
        <v>871</v>
      </c>
      <c r="G10" s="20">
        <v>5</v>
      </c>
      <c r="H10">
        <v>8</v>
      </c>
      <c r="I10">
        <v>0</v>
      </c>
      <c r="J10">
        <v>0</v>
      </c>
      <c r="K10" s="20">
        <v>0</v>
      </c>
    </row>
    <row r="11" spans="1:11" x14ac:dyDescent="0.35">
      <c r="A11" s="50" t="str">
        <f>IF(OR(ISNUMBER(SEARCH("App",B7)),ISNUMBER(SEARCH("Mobile",B7))),"Screens:","Pages/Items:")</f>
        <v>Pages/Items:</v>
      </c>
      <c r="B11" s="202">
        <v>8</v>
      </c>
      <c r="C11" s="100" t="str">
        <f>IF(IFERROR(VLOOKUP(B7,F6:K60,4,FALSE),0)&gt;0,"× "&amp;VLOOKUP(B7,F6:K60,4,FALSE)&amp;" hrs/page = "&amp;B11*VLOOKUP(B7,F6:K60,4,FALSE)&amp;" hrs","(Not applicable - fixed scope)")</f>
        <v>× 4 hrs/page = 32 hrs</v>
      </c>
      <c r="F11" t="s">
        <v>1825</v>
      </c>
      <c r="G11" s="20">
        <v>6</v>
      </c>
      <c r="H11">
        <v>4</v>
      </c>
      <c r="I11">
        <v>0</v>
      </c>
      <c r="J11">
        <v>0</v>
      </c>
      <c r="K11" s="20">
        <v>0</v>
      </c>
    </row>
    <row r="12" spans="1:11" x14ac:dyDescent="0.35">
      <c r="A12" s="50" t="str">
        <f>IF(IFERROR(VLOOKUP(B7,F6:K60,5,FALSE),0)&gt;0,"Custom Features:","Features (N/A):")</f>
        <v>Custom Features:</v>
      </c>
      <c r="B12" s="202">
        <v>2</v>
      </c>
      <c r="C12" s="100" t="str">
        <f>IF(IFERROR(VLOOKUP(B7,F6:K60,5,FALSE),0)&gt;0,"× "&amp;VLOOKUP(B7,F6:K60,5,FALSE)&amp;" hrs/feature = "&amp;B12*VLOOKUP(B7,F6:K60,5,FALSE)&amp;" hrs","(Not applicable - fixed scope)")</f>
        <v>× 6 hrs/feature = 12 hrs</v>
      </c>
      <c r="F12" t="s">
        <v>1826</v>
      </c>
      <c r="G12" s="20">
        <v>7</v>
      </c>
      <c r="H12">
        <v>0</v>
      </c>
      <c r="I12">
        <v>3</v>
      </c>
      <c r="J12">
        <v>0</v>
      </c>
      <c r="K12" s="20">
        <v>0</v>
      </c>
    </row>
    <row r="13" spans="1:11" x14ac:dyDescent="0.35">
      <c r="A13" s="50" t="s">
        <v>1757</v>
      </c>
      <c r="B13" s="202">
        <v>0</v>
      </c>
      <c r="C13" s="100" t="s">
        <v>1793</v>
      </c>
      <c r="F13" t="s">
        <v>1214</v>
      </c>
      <c r="G13" s="20">
        <v>7</v>
      </c>
      <c r="H13">
        <v>5</v>
      </c>
      <c r="I13">
        <v>0</v>
      </c>
      <c r="J13">
        <v>0</v>
      </c>
      <c r="K13" s="20">
        <v>0</v>
      </c>
    </row>
    <row r="14" spans="1:11" x14ac:dyDescent="0.35">
      <c r="A14" s="50" t="s">
        <v>1758</v>
      </c>
      <c r="B14" s="202" t="s">
        <v>211</v>
      </c>
      <c r="C14" s="100" t="s">
        <v>1794</v>
      </c>
      <c r="F14" t="s">
        <v>1221</v>
      </c>
      <c r="G14" s="20">
        <v>7</v>
      </c>
      <c r="H14">
        <v>0</v>
      </c>
      <c r="I14">
        <v>0</v>
      </c>
      <c r="J14">
        <v>1</v>
      </c>
      <c r="K14" s="20">
        <v>0</v>
      </c>
    </row>
    <row r="15" spans="1:11" x14ac:dyDescent="0.35">
      <c r="A15" s="50" t="s">
        <v>77</v>
      </c>
      <c r="B15" s="202" t="s">
        <v>214</v>
      </c>
      <c r="C15" s="100" t="s">
        <v>1795</v>
      </c>
      <c r="F15" t="s">
        <v>1229</v>
      </c>
      <c r="G15" s="20">
        <v>5</v>
      </c>
      <c r="H15">
        <v>1</v>
      </c>
      <c r="I15">
        <v>0</v>
      </c>
      <c r="J15">
        <v>0</v>
      </c>
      <c r="K15" s="20">
        <v>0</v>
      </c>
    </row>
    <row r="16" spans="1:11" x14ac:dyDescent="0.35">
      <c r="A16" s="50" t="s">
        <v>1796</v>
      </c>
      <c r="B16" s="202">
        <v>0</v>
      </c>
      <c r="C16" s="100" t="s">
        <v>1797</v>
      </c>
      <c r="F16" t="s">
        <v>1827</v>
      </c>
      <c r="G16" s="20">
        <v>8</v>
      </c>
      <c r="H16">
        <v>4</v>
      </c>
      <c r="I16">
        <v>0</v>
      </c>
      <c r="J16">
        <v>0</v>
      </c>
      <c r="K16" s="20">
        <v>0</v>
      </c>
    </row>
    <row r="17" spans="1:11" x14ac:dyDescent="0.35">
      <c r="F17" t="s">
        <v>1828</v>
      </c>
      <c r="G17" s="20">
        <v>9</v>
      </c>
      <c r="H17">
        <v>12</v>
      </c>
      <c r="I17">
        <v>0</v>
      </c>
      <c r="J17">
        <v>0</v>
      </c>
      <c r="K17" s="20">
        <v>0</v>
      </c>
    </row>
    <row r="18" spans="1:11" ht="16" x14ac:dyDescent="0.4">
      <c r="A18" s="253" t="s">
        <v>1759</v>
      </c>
      <c r="B18" s="241"/>
      <c r="C18" s="241"/>
      <c r="D18" s="241"/>
      <c r="F18" t="s">
        <v>118</v>
      </c>
      <c r="G18" s="20">
        <v>10</v>
      </c>
      <c r="H18">
        <v>8</v>
      </c>
      <c r="I18">
        <v>0</v>
      </c>
      <c r="J18">
        <v>0</v>
      </c>
      <c r="K18" s="20">
        <v>0</v>
      </c>
    </row>
    <row r="19" spans="1:11" x14ac:dyDescent="0.35">
      <c r="F19" t="s">
        <v>1730</v>
      </c>
      <c r="G19" s="20">
        <v>10</v>
      </c>
      <c r="H19">
        <v>6</v>
      </c>
      <c r="I19">
        <v>0</v>
      </c>
      <c r="J19">
        <v>0</v>
      </c>
      <c r="K19" s="20">
        <v>0</v>
      </c>
    </row>
    <row r="20" spans="1:11" x14ac:dyDescent="0.35">
      <c r="A20" s="50" t="s">
        <v>1723</v>
      </c>
      <c r="B20" s="202" t="s">
        <v>1104</v>
      </c>
      <c r="C20" s="100" t="s">
        <v>1798</v>
      </c>
      <c r="F20" t="s">
        <v>1765</v>
      </c>
      <c r="G20" s="20">
        <v>12</v>
      </c>
      <c r="H20">
        <v>0</v>
      </c>
      <c r="I20">
        <v>0</v>
      </c>
      <c r="J20">
        <v>10</v>
      </c>
      <c r="K20" s="20">
        <v>50</v>
      </c>
    </row>
    <row r="21" spans="1:11" x14ac:dyDescent="0.35">
      <c r="A21" s="50" t="s">
        <v>1724</v>
      </c>
      <c r="B21" s="202" t="s">
        <v>1725</v>
      </c>
      <c r="C21" s="100" t="s">
        <v>1799</v>
      </c>
      <c r="F21" t="s">
        <v>1829</v>
      </c>
      <c r="G21" s="20">
        <v>5</v>
      </c>
      <c r="H21">
        <v>2</v>
      </c>
      <c r="I21">
        <v>0</v>
      </c>
      <c r="J21">
        <v>0</v>
      </c>
      <c r="K21" s="20">
        <v>0</v>
      </c>
    </row>
    <row r="22" spans="1:11" x14ac:dyDescent="0.35">
      <c r="A22" s="50" t="s">
        <v>1722</v>
      </c>
      <c r="B22" s="202" t="s">
        <v>746</v>
      </c>
      <c r="F22" t="s">
        <v>1731</v>
      </c>
      <c r="G22" s="20">
        <v>8</v>
      </c>
      <c r="H22">
        <v>0</v>
      </c>
      <c r="I22">
        <v>8</v>
      </c>
      <c r="J22">
        <v>0</v>
      </c>
      <c r="K22" s="20">
        <v>0</v>
      </c>
    </row>
    <row r="23" spans="1:11" x14ac:dyDescent="0.35">
      <c r="A23" s="50" t="s">
        <v>1726</v>
      </c>
      <c r="B23" s="202">
        <v>0</v>
      </c>
      <c r="F23" t="s">
        <v>1760</v>
      </c>
      <c r="G23" s="20">
        <v>10</v>
      </c>
      <c r="H23">
        <v>0</v>
      </c>
      <c r="I23">
        <v>4</v>
      </c>
      <c r="J23">
        <v>6</v>
      </c>
      <c r="K23" s="20">
        <v>30</v>
      </c>
    </row>
    <row r="24" spans="1:11" x14ac:dyDescent="0.35">
      <c r="F24" t="s">
        <v>1761</v>
      </c>
      <c r="G24" s="20">
        <v>10</v>
      </c>
      <c r="H24">
        <v>0</v>
      </c>
      <c r="I24">
        <v>3</v>
      </c>
      <c r="J24">
        <v>6</v>
      </c>
      <c r="K24" s="20">
        <v>30</v>
      </c>
    </row>
    <row r="25" spans="1:11" ht="16" x14ac:dyDescent="0.4">
      <c r="A25" s="253" t="s">
        <v>1770</v>
      </c>
      <c r="B25" s="241"/>
      <c r="C25" s="241"/>
      <c r="D25" s="241"/>
      <c r="F25" t="s">
        <v>839</v>
      </c>
      <c r="G25" s="20">
        <v>12</v>
      </c>
      <c r="H25">
        <v>0</v>
      </c>
      <c r="I25">
        <v>2</v>
      </c>
      <c r="J25">
        <v>8</v>
      </c>
      <c r="K25" s="20">
        <v>50</v>
      </c>
    </row>
    <row r="26" spans="1:11" x14ac:dyDescent="0.35">
      <c r="F26" t="s">
        <v>841</v>
      </c>
      <c r="G26" s="20">
        <v>15</v>
      </c>
      <c r="H26">
        <v>0</v>
      </c>
      <c r="I26">
        <v>4</v>
      </c>
      <c r="J26">
        <v>12</v>
      </c>
      <c r="K26" s="20">
        <v>100</v>
      </c>
    </row>
    <row r="27" spans="1:11" x14ac:dyDescent="0.35">
      <c r="A27" t="s">
        <v>1874</v>
      </c>
      <c r="B27" s="204">
        <f>IFERROR(VLOOKUP(B7,F6:K60,2,FALSE),10)</f>
        <v>10</v>
      </c>
      <c r="F27" t="s">
        <v>1762</v>
      </c>
      <c r="G27" s="20">
        <v>8</v>
      </c>
      <c r="H27">
        <v>0</v>
      </c>
      <c r="I27">
        <v>3</v>
      </c>
      <c r="J27">
        <v>4</v>
      </c>
      <c r="K27" s="20">
        <v>20</v>
      </c>
    </row>
    <row r="28" spans="1:11" x14ac:dyDescent="0.35">
      <c r="A28" t="s">
        <v>1875</v>
      </c>
      <c r="B28" s="204">
        <f>IF(AND(B11=0,B12=0),IFERROR(VLOOKUP(B7,F6:K60,3,FALSE),0),0)</f>
        <v>0</v>
      </c>
      <c r="F28" t="s">
        <v>1763</v>
      </c>
      <c r="G28" s="20">
        <v>8</v>
      </c>
      <c r="H28">
        <v>0</v>
      </c>
      <c r="I28">
        <v>4</v>
      </c>
      <c r="J28">
        <v>0</v>
      </c>
      <c r="K28" s="20">
        <v>0</v>
      </c>
    </row>
    <row r="29" spans="1:11" x14ac:dyDescent="0.35">
      <c r="A29" t="s">
        <v>1800</v>
      </c>
      <c r="B29" s="204">
        <f>B11*IFERROR(VLOOKUP(B7,F6:K60,4,FALSE),0)</f>
        <v>32</v>
      </c>
      <c r="F29" t="s">
        <v>1764</v>
      </c>
      <c r="G29" s="20">
        <v>12</v>
      </c>
      <c r="H29">
        <v>0</v>
      </c>
      <c r="I29">
        <v>0</v>
      </c>
      <c r="J29">
        <v>10</v>
      </c>
      <c r="K29" s="20">
        <v>100</v>
      </c>
    </row>
    <row r="30" spans="1:11" x14ac:dyDescent="0.35">
      <c r="A30" t="s">
        <v>1772</v>
      </c>
      <c r="B30" s="204">
        <f>B12*IFERROR(VLOOKUP(B7,F6:K60,5,FALSE),0)</f>
        <v>12</v>
      </c>
      <c r="F30" t="s">
        <v>1732</v>
      </c>
      <c r="G30" s="20">
        <v>12</v>
      </c>
      <c r="H30">
        <v>0</v>
      </c>
      <c r="I30">
        <v>0</v>
      </c>
      <c r="J30">
        <v>12</v>
      </c>
      <c r="K30" s="20">
        <v>150</v>
      </c>
    </row>
    <row r="31" spans="1:11" x14ac:dyDescent="0.35">
      <c r="A31" s="50" t="s">
        <v>1773</v>
      </c>
      <c r="B31" s="205">
        <f>B28+B29+B30</f>
        <v>44</v>
      </c>
      <c r="F31" t="s">
        <v>1742</v>
      </c>
      <c r="G31" s="20">
        <v>12</v>
      </c>
      <c r="H31">
        <v>0</v>
      </c>
      <c r="I31">
        <v>0</v>
      </c>
      <c r="J31">
        <v>12</v>
      </c>
      <c r="K31" s="20">
        <v>200</v>
      </c>
    </row>
    <row r="32" spans="1:11" x14ac:dyDescent="0.35">
      <c r="A32" t="s">
        <v>1771</v>
      </c>
      <c r="B32" s="204">
        <f>IFERROR(VLOOKUP(B7,F6:K60,6,FALSE),0)</f>
        <v>30</v>
      </c>
      <c r="F32" t="s">
        <v>1830</v>
      </c>
      <c r="G32" s="20">
        <v>10</v>
      </c>
      <c r="H32">
        <v>0</v>
      </c>
      <c r="I32">
        <v>0</v>
      </c>
      <c r="J32">
        <v>6</v>
      </c>
      <c r="K32" s="20">
        <v>0</v>
      </c>
    </row>
    <row r="33" spans="1:11" x14ac:dyDescent="0.35">
      <c r="A33" t="s">
        <v>1737</v>
      </c>
      <c r="B33" s="206" cm="1">
        <f t="array" ref="B33">(B31*B27)*_xlfn.SWITCH(B20,"SIMPLE",-0.1,"STANDARD",0,"COMPLEX",0.15,"EXPERT",0.3,0)</f>
        <v>0</v>
      </c>
      <c r="F33" t="s">
        <v>1766</v>
      </c>
      <c r="G33" s="20">
        <v>10</v>
      </c>
      <c r="H33">
        <v>0</v>
      </c>
      <c r="I33">
        <v>4</v>
      </c>
      <c r="J33">
        <v>0</v>
      </c>
      <c r="K33" s="20">
        <v>30</v>
      </c>
    </row>
    <row r="34" spans="1:11" x14ac:dyDescent="0.35">
      <c r="A34" t="s">
        <v>1738</v>
      </c>
      <c r="B34" s="206" cm="1">
        <f t="array" ref="B34">(B31*B27)*_xlfn.SWITCH(B21,"RELAXED",-0.05,"NORMAL",0,"RUSH",0.2,"URGENT",0.4,0)</f>
        <v>0</v>
      </c>
      <c r="F34" t="s">
        <v>1733</v>
      </c>
      <c r="G34" s="20">
        <v>8</v>
      </c>
      <c r="H34">
        <v>0</v>
      </c>
      <c r="I34">
        <v>2</v>
      </c>
      <c r="J34">
        <v>0</v>
      </c>
      <c r="K34" s="20">
        <v>0</v>
      </c>
    </row>
    <row r="35" spans="1:11" x14ac:dyDescent="0.35">
      <c r="A35" t="s">
        <v>745</v>
      </c>
      <c r="B35" s="206">
        <f>(B31*B27+B33+B34)*0.15</f>
        <v>66</v>
      </c>
      <c r="F35" t="s">
        <v>1831</v>
      </c>
      <c r="G35" s="20">
        <v>10</v>
      </c>
      <c r="H35">
        <v>8</v>
      </c>
      <c r="I35">
        <v>0</v>
      </c>
      <c r="J35">
        <v>2</v>
      </c>
      <c r="K35" s="20">
        <v>30</v>
      </c>
    </row>
    <row r="36" spans="1:11" x14ac:dyDescent="0.35">
      <c r="A36" t="s">
        <v>765</v>
      </c>
      <c r="B36" s="206">
        <f>(B31*B27+B33+B34)*0.1</f>
        <v>44</v>
      </c>
      <c r="F36" t="s">
        <v>1832</v>
      </c>
      <c r="G36" s="20">
        <v>10</v>
      </c>
      <c r="H36">
        <v>15</v>
      </c>
      <c r="I36">
        <v>0</v>
      </c>
      <c r="J36">
        <v>0</v>
      </c>
      <c r="K36" s="20">
        <v>50</v>
      </c>
    </row>
    <row r="37" spans="1:11" x14ac:dyDescent="0.35">
      <c r="A37" t="s">
        <v>1727</v>
      </c>
      <c r="B37" s="206">
        <f>-(B31*B27+B32+B33+B34+B35+B36)*B23/100</f>
        <v>0</v>
      </c>
      <c r="F37" t="s">
        <v>1833</v>
      </c>
      <c r="G37" s="20">
        <v>9</v>
      </c>
      <c r="H37">
        <v>0</v>
      </c>
      <c r="I37">
        <v>2</v>
      </c>
      <c r="J37">
        <v>0</v>
      </c>
      <c r="K37" s="20">
        <v>50</v>
      </c>
    </row>
    <row r="38" spans="1:11" x14ac:dyDescent="0.35">
      <c r="F38" t="s">
        <v>1834</v>
      </c>
      <c r="G38" s="20">
        <v>10</v>
      </c>
      <c r="H38">
        <v>20</v>
      </c>
      <c r="I38">
        <v>0</v>
      </c>
      <c r="J38">
        <v>0</v>
      </c>
      <c r="K38" s="20">
        <v>0</v>
      </c>
    </row>
    <row r="39" spans="1:11" ht="18.5" x14ac:dyDescent="0.45">
      <c r="A39" s="101" t="s">
        <v>1750</v>
      </c>
      <c r="B39" s="209">
        <f>B31*B27+B32+B33+B34+B35+B36+B37</f>
        <v>580</v>
      </c>
      <c r="F39" t="s">
        <v>1391</v>
      </c>
      <c r="G39" s="20">
        <v>10</v>
      </c>
      <c r="H39">
        <v>12</v>
      </c>
      <c r="I39">
        <v>0</v>
      </c>
      <c r="J39">
        <v>0</v>
      </c>
      <c r="K39" s="20">
        <v>30</v>
      </c>
    </row>
    <row r="40" spans="1:11" x14ac:dyDescent="0.35">
      <c r="A40" t="s">
        <v>1651</v>
      </c>
      <c r="B40" s="210">
        <f>B39*278</f>
        <v>161240</v>
      </c>
      <c r="F40" t="s">
        <v>1740</v>
      </c>
      <c r="G40" s="20">
        <v>10</v>
      </c>
      <c r="H40">
        <v>10</v>
      </c>
      <c r="I40">
        <v>0</v>
      </c>
      <c r="J40">
        <v>0</v>
      </c>
      <c r="K40" s="20">
        <v>30</v>
      </c>
    </row>
    <row r="41" spans="1:11" x14ac:dyDescent="0.35">
      <c r="F41" t="s">
        <v>1748</v>
      </c>
      <c r="G41">
        <v>8</v>
      </c>
      <c r="H41">
        <v>8</v>
      </c>
      <c r="I41">
        <v>0</v>
      </c>
      <c r="J41">
        <v>0</v>
      </c>
      <c r="K41">
        <v>30</v>
      </c>
    </row>
    <row r="42" spans="1:11" ht="16" x14ac:dyDescent="0.4">
      <c r="A42" s="253" t="s">
        <v>1774</v>
      </c>
      <c r="B42" s="241"/>
      <c r="C42" s="241"/>
      <c r="D42" s="241"/>
      <c r="F42" s="102" t="s">
        <v>1835</v>
      </c>
      <c r="G42" s="103">
        <v>10</v>
      </c>
      <c r="H42" s="103">
        <v>15</v>
      </c>
      <c r="I42" s="103">
        <v>0</v>
      </c>
      <c r="J42" s="103">
        <v>0</v>
      </c>
      <c r="K42" s="103">
        <v>50</v>
      </c>
    </row>
    <row r="43" spans="1:11" x14ac:dyDescent="0.35">
      <c r="F43" s="99" t="s">
        <v>920</v>
      </c>
      <c r="G43" s="99">
        <v>9</v>
      </c>
      <c r="H43" s="99">
        <v>8</v>
      </c>
      <c r="I43" s="99">
        <v>0</v>
      </c>
      <c r="J43" s="99">
        <v>0</v>
      </c>
      <c r="K43" s="99">
        <v>30</v>
      </c>
    </row>
    <row r="44" spans="1:11" x14ac:dyDescent="0.35">
      <c r="A44" s="157" t="s">
        <v>1728</v>
      </c>
      <c r="B44" s="157" t="s">
        <v>1775</v>
      </c>
      <c r="C44" s="157" t="s">
        <v>1751</v>
      </c>
      <c r="D44" s="157" t="s">
        <v>1776</v>
      </c>
      <c r="F44" t="s">
        <v>1836</v>
      </c>
      <c r="G44">
        <v>8</v>
      </c>
      <c r="H44" s="49">
        <v>10</v>
      </c>
      <c r="I44" s="20">
        <v>0</v>
      </c>
      <c r="J44" s="20">
        <v>0</v>
      </c>
      <c r="K44" s="146">
        <v>0</v>
      </c>
    </row>
    <row r="45" spans="1:11" x14ac:dyDescent="0.35">
      <c r="A45" t="s">
        <v>1801</v>
      </c>
      <c r="B45" s="206">
        <f>ROUND(B39/(1-0.25),0)</f>
        <v>773</v>
      </c>
      <c r="C45" s="207">
        <f>B45*278</f>
        <v>214894</v>
      </c>
      <c r="D45" s="206">
        <f>B45-B39</f>
        <v>193</v>
      </c>
      <c r="F45" t="s">
        <v>1837</v>
      </c>
      <c r="G45">
        <v>9</v>
      </c>
      <c r="H45" s="49">
        <v>0</v>
      </c>
      <c r="I45" s="20">
        <v>3</v>
      </c>
      <c r="J45" s="20">
        <v>0</v>
      </c>
      <c r="K45" s="146">
        <v>0</v>
      </c>
    </row>
    <row r="46" spans="1:11" x14ac:dyDescent="0.35">
      <c r="A46" s="58" t="s">
        <v>1752</v>
      </c>
      <c r="B46" s="206">
        <f>ROUND(B39/(1-0.4),0)</f>
        <v>967</v>
      </c>
      <c r="C46" s="207">
        <f>B46*278</f>
        <v>268826</v>
      </c>
      <c r="D46" s="206">
        <f>B46-B39</f>
        <v>387</v>
      </c>
      <c r="F46" t="s">
        <v>1838</v>
      </c>
      <c r="G46">
        <v>7</v>
      </c>
      <c r="H46" s="49">
        <v>6</v>
      </c>
      <c r="I46" s="20">
        <v>0</v>
      </c>
      <c r="J46" s="20">
        <v>0</v>
      </c>
      <c r="K46" s="146">
        <v>0</v>
      </c>
    </row>
    <row r="47" spans="1:11" x14ac:dyDescent="0.35">
      <c r="A47" t="s">
        <v>1802</v>
      </c>
      <c r="B47" s="206">
        <f>ROUND(B39/(1-0.55),0)</f>
        <v>1289</v>
      </c>
      <c r="C47" s="207">
        <f>B47*278</f>
        <v>358342</v>
      </c>
      <c r="D47" s="206">
        <f>B47-B39</f>
        <v>709</v>
      </c>
      <c r="F47" t="s">
        <v>1839</v>
      </c>
      <c r="G47">
        <v>12</v>
      </c>
      <c r="H47" s="49">
        <v>8</v>
      </c>
      <c r="I47" s="20">
        <v>0</v>
      </c>
      <c r="J47" s="20">
        <v>0</v>
      </c>
      <c r="K47" s="146">
        <v>0</v>
      </c>
    </row>
    <row r="48" spans="1:11" x14ac:dyDescent="0.35">
      <c r="A48" t="s">
        <v>1803</v>
      </c>
      <c r="B48" s="206">
        <f>ROUND(B39/(1-0.65),0)</f>
        <v>1657</v>
      </c>
      <c r="C48" s="207">
        <f>B48*278</f>
        <v>460646</v>
      </c>
      <c r="D48" s="206">
        <f>B48-B39</f>
        <v>1077</v>
      </c>
      <c r="F48" t="s">
        <v>1767</v>
      </c>
      <c r="G48">
        <v>10</v>
      </c>
      <c r="H48" s="49">
        <v>0</v>
      </c>
      <c r="I48" s="20">
        <v>0</v>
      </c>
      <c r="J48" s="20">
        <v>4</v>
      </c>
      <c r="K48" s="146">
        <v>20</v>
      </c>
    </row>
    <row r="49" spans="1:11" x14ac:dyDescent="0.35">
      <c r="F49" t="s">
        <v>1734</v>
      </c>
      <c r="G49">
        <v>12</v>
      </c>
      <c r="H49" s="49">
        <v>10</v>
      </c>
      <c r="I49" s="20">
        <v>0</v>
      </c>
      <c r="J49" s="20">
        <v>3</v>
      </c>
      <c r="K49" s="146">
        <v>50</v>
      </c>
    </row>
    <row r="50" spans="1:11" ht="16" x14ac:dyDescent="0.4">
      <c r="A50" s="253" t="s">
        <v>1777</v>
      </c>
      <c r="B50" s="241"/>
      <c r="C50" s="241"/>
      <c r="D50" s="241"/>
      <c r="F50" t="s">
        <v>1768</v>
      </c>
      <c r="G50">
        <v>12</v>
      </c>
      <c r="H50" s="49">
        <v>0</v>
      </c>
      <c r="I50" s="20">
        <v>0</v>
      </c>
      <c r="J50" s="20">
        <v>6</v>
      </c>
      <c r="K50" s="146">
        <v>30</v>
      </c>
    </row>
    <row r="51" spans="1:11" x14ac:dyDescent="0.35">
      <c r="F51" t="s">
        <v>1743</v>
      </c>
      <c r="G51">
        <v>13</v>
      </c>
      <c r="H51">
        <v>10</v>
      </c>
      <c r="I51">
        <v>0</v>
      </c>
      <c r="J51">
        <v>8</v>
      </c>
      <c r="K51">
        <v>100</v>
      </c>
    </row>
    <row r="52" spans="1:11" x14ac:dyDescent="0.35">
      <c r="A52" s="50" t="s">
        <v>1778</v>
      </c>
      <c r="B52" s="202" t="s">
        <v>1752</v>
      </c>
      <c r="F52" s="98" t="s">
        <v>1476</v>
      </c>
      <c r="G52" s="97">
        <v>15</v>
      </c>
      <c r="H52" s="97">
        <v>0</v>
      </c>
      <c r="I52" s="97">
        <v>0</v>
      </c>
      <c r="J52" s="97">
        <v>8</v>
      </c>
      <c r="K52" s="97">
        <v>100</v>
      </c>
    </row>
    <row r="53" spans="1:11" x14ac:dyDescent="0.35">
      <c r="F53" t="s">
        <v>1840</v>
      </c>
      <c r="G53">
        <v>15</v>
      </c>
      <c r="H53">
        <v>40</v>
      </c>
      <c r="I53">
        <v>0</v>
      </c>
      <c r="J53">
        <v>20</v>
      </c>
      <c r="K53">
        <v>300</v>
      </c>
    </row>
    <row r="54" spans="1:11" ht="21" x14ac:dyDescent="0.5">
      <c r="A54" s="104" t="s">
        <v>1779</v>
      </c>
      <c r="B54" s="211">
        <f>IF(B52="ECONOMY (25%)",B45,IF(B52="STANDARD (40%)",B46,IF(B52="PREMIUM (55%)",B47,IF(B52="ENTERPRISE (65%)",B48,B45))))</f>
        <v>967</v>
      </c>
      <c r="C54" s="212">
        <f>B54*278</f>
        <v>268826</v>
      </c>
      <c r="D54" s="215"/>
      <c r="F54" s="50" t="s">
        <v>1769</v>
      </c>
      <c r="G54">
        <v>13</v>
      </c>
      <c r="H54">
        <v>10</v>
      </c>
      <c r="I54">
        <v>0</v>
      </c>
      <c r="J54">
        <v>4</v>
      </c>
      <c r="K54">
        <v>30</v>
      </c>
    </row>
    <row r="55" spans="1:11" x14ac:dyDescent="0.35">
      <c r="A55" s="50" t="s">
        <v>1741</v>
      </c>
      <c r="B55" s="213">
        <f>B54-B39</f>
        <v>387</v>
      </c>
      <c r="C55" s="214">
        <f>B55*278</f>
        <v>107586</v>
      </c>
      <c r="D55" s="215"/>
      <c r="F55" s="50" t="s">
        <v>1841</v>
      </c>
      <c r="G55">
        <v>13</v>
      </c>
      <c r="H55">
        <v>12</v>
      </c>
      <c r="I55">
        <v>0</v>
      </c>
      <c r="J55">
        <v>6</v>
      </c>
      <c r="K55">
        <v>50</v>
      </c>
    </row>
    <row r="56" spans="1:11" x14ac:dyDescent="0.35">
      <c r="F56" s="50" t="s">
        <v>1842</v>
      </c>
      <c r="G56">
        <v>14</v>
      </c>
      <c r="H56">
        <v>15</v>
      </c>
      <c r="I56">
        <v>0</v>
      </c>
      <c r="J56">
        <v>8</v>
      </c>
      <c r="K56">
        <v>75</v>
      </c>
    </row>
    <row r="57" spans="1:11" x14ac:dyDescent="0.35">
      <c r="A57" s="241" t="s">
        <v>1805</v>
      </c>
      <c r="B57" s="241"/>
      <c r="C57" s="241"/>
      <c r="D57" s="241"/>
      <c r="F57" s="50" t="s">
        <v>1843</v>
      </c>
      <c r="G57">
        <v>15</v>
      </c>
      <c r="H57">
        <v>1</v>
      </c>
      <c r="I57">
        <v>0</v>
      </c>
      <c r="J57">
        <v>0</v>
      </c>
      <c r="K57">
        <v>0</v>
      </c>
    </row>
    <row r="58" spans="1:11" x14ac:dyDescent="0.35">
      <c r="F58" s="50" t="s">
        <v>1844</v>
      </c>
      <c r="G58">
        <v>15</v>
      </c>
      <c r="H58">
        <v>2</v>
      </c>
      <c r="I58">
        <v>0</v>
      </c>
      <c r="J58">
        <v>0</v>
      </c>
      <c r="K58">
        <v>0</v>
      </c>
    </row>
    <row r="59" spans="1:11" x14ac:dyDescent="0.35">
      <c r="A59" t="s">
        <v>1780</v>
      </c>
      <c r="B59" s="204">
        <f>ROUNDUP(B31/6,0)</f>
        <v>8</v>
      </c>
      <c r="C59" s="57" t="s">
        <v>1781</v>
      </c>
      <c r="F59" s="50" t="s">
        <v>1845</v>
      </c>
      <c r="G59">
        <v>5</v>
      </c>
      <c r="H59">
        <v>1</v>
      </c>
      <c r="I59">
        <v>0</v>
      </c>
      <c r="J59">
        <v>0</v>
      </c>
      <c r="K59">
        <v>0</v>
      </c>
    </row>
    <row r="60" spans="1:11" x14ac:dyDescent="0.35">
      <c r="A60" t="s">
        <v>1782</v>
      </c>
      <c r="B60" s="204">
        <f>ROUND(B59/5,1)</f>
        <v>1.6</v>
      </c>
      <c r="C60" t="s">
        <v>1783</v>
      </c>
      <c r="F60" s="50" t="s">
        <v>1846</v>
      </c>
      <c r="G60">
        <v>8</v>
      </c>
      <c r="H60">
        <v>40</v>
      </c>
      <c r="I60">
        <v>0</v>
      </c>
      <c r="J60">
        <v>0</v>
      </c>
      <c r="K60">
        <v>0</v>
      </c>
    </row>
    <row r="61" spans="1:11" x14ac:dyDescent="0.35">
      <c r="A61" t="s">
        <v>1784</v>
      </c>
      <c r="B61" s="208">
        <f ca="1">TODAY()+B59</f>
        <v>46092</v>
      </c>
    </row>
    <row r="62" spans="1:11" x14ac:dyDescent="0.35">
      <c r="F62" s="241" t="s">
        <v>1749</v>
      </c>
      <c r="G62" s="241"/>
      <c r="H62" s="241"/>
      <c r="I62" s="241"/>
      <c r="J62" s="241"/>
      <c r="K62" s="241"/>
    </row>
    <row r="63" spans="1:11" x14ac:dyDescent="0.35">
      <c r="A63" s="241" t="s">
        <v>1806</v>
      </c>
      <c r="B63" s="241"/>
      <c r="C63" s="241"/>
      <c r="D63" s="241"/>
      <c r="F63" s="52"/>
      <c r="G63" s="244" t="s">
        <v>1816</v>
      </c>
      <c r="H63" s="244"/>
    </row>
    <row r="64" spans="1:11" x14ac:dyDescent="0.35">
      <c r="F64" s="58"/>
      <c r="G64" s="244" t="s">
        <v>1817</v>
      </c>
      <c r="H64" s="244"/>
    </row>
    <row r="65" spans="1:11" x14ac:dyDescent="0.35">
      <c r="A65" s="157" t="s">
        <v>1807</v>
      </c>
      <c r="B65" s="157" t="s">
        <v>1808</v>
      </c>
      <c r="C65" s="157" t="s">
        <v>1809</v>
      </c>
      <c r="D65" s="157" t="s">
        <v>1810</v>
      </c>
      <c r="F65" s="103"/>
      <c r="G65" s="244" t="s">
        <v>1818</v>
      </c>
      <c r="H65" s="244"/>
    </row>
    <row r="66" spans="1:11" x14ac:dyDescent="0.35">
      <c r="A66" t="s">
        <v>1117</v>
      </c>
      <c r="B66" s="43">
        <v>0.5</v>
      </c>
      <c r="C66" s="20">
        <f>B54*B66</f>
        <v>483.5</v>
      </c>
      <c r="D66" s="4">
        <f>C66*278</f>
        <v>134413</v>
      </c>
    </row>
    <row r="67" spans="1:11" x14ac:dyDescent="0.35">
      <c r="A67" t="s">
        <v>1811</v>
      </c>
      <c r="B67" s="43">
        <v>0.25</v>
      </c>
      <c r="C67" s="20">
        <f>B54*B67</f>
        <v>241.75</v>
      </c>
      <c r="D67" s="4">
        <f>C67*278</f>
        <v>67206.5</v>
      </c>
      <c r="F67" s="241" t="s">
        <v>1744</v>
      </c>
      <c r="G67" s="241"/>
      <c r="H67" s="241"/>
      <c r="I67" s="241"/>
      <c r="J67" s="241"/>
      <c r="K67" s="241"/>
    </row>
    <row r="68" spans="1:11" x14ac:dyDescent="0.35">
      <c r="A68" t="s">
        <v>1812</v>
      </c>
      <c r="B68" s="43">
        <v>0.25</v>
      </c>
      <c r="C68" s="20">
        <f>B54*B68</f>
        <v>241.75</v>
      </c>
      <c r="D68" s="4">
        <f>C68*278</f>
        <v>67206.5</v>
      </c>
      <c r="F68" s="157" t="s">
        <v>1822</v>
      </c>
      <c r="G68" s="157" t="s">
        <v>1823</v>
      </c>
      <c r="H68" s="157" t="s">
        <v>1815</v>
      </c>
      <c r="I68" s="157" t="s">
        <v>1739</v>
      </c>
      <c r="J68" s="157" t="s">
        <v>1824</v>
      </c>
      <c r="K68" s="157" t="s">
        <v>24</v>
      </c>
    </row>
    <row r="69" spans="1:11" x14ac:dyDescent="0.35">
      <c r="A69" s="50" t="s">
        <v>1653</v>
      </c>
      <c r="C69" s="33">
        <f>SUM(C66:C68)</f>
        <v>967</v>
      </c>
      <c r="D69" s="48">
        <f>C69*278</f>
        <v>268826</v>
      </c>
      <c r="F69" t="s">
        <v>1729</v>
      </c>
      <c r="G69" s="20">
        <f>B45</f>
        <v>773</v>
      </c>
      <c r="H69" s="20">
        <f>B39</f>
        <v>580</v>
      </c>
      <c r="I69" s="20">
        <f>G69-H69</f>
        <v>193</v>
      </c>
      <c r="J69" s="4">
        <f>I69*278</f>
        <v>53654</v>
      </c>
      <c r="K69" s="43">
        <v>0.25</v>
      </c>
    </row>
    <row r="70" spans="1:11" x14ac:dyDescent="0.35">
      <c r="F70" s="58" t="s">
        <v>1104</v>
      </c>
      <c r="G70" s="46">
        <f>B46</f>
        <v>967</v>
      </c>
      <c r="H70" s="46">
        <f>B39</f>
        <v>580</v>
      </c>
      <c r="I70" s="46">
        <f>G70-H70</f>
        <v>387</v>
      </c>
      <c r="J70" s="45">
        <f>I70*278</f>
        <v>107586</v>
      </c>
      <c r="K70" s="44">
        <v>0.4</v>
      </c>
    </row>
    <row r="71" spans="1:11" x14ac:dyDescent="0.35">
      <c r="A71" s="241" t="s">
        <v>1813</v>
      </c>
      <c r="B71" s="241"/>
      <c r="C71" s="241"/>
      <c r="D71" s="241"/>
      <c r="F71" t="s">
        <v>1605</v>
      </c>
      <c r="G71" s="20">
        <f>B47</f>
        <v>1289</v>
      </c>
      <c r="H71" s="20">
        <f>B39</f>
        <v>580</v>
      </c>
      <c r="I71" s="20">
        <f>G71-H71</f>
        <v>709</v>
      </c>
      <c r="J71" s="4">
        <f>I71*278</f>
        <v>197102</v>
      </c>
      <c r="K71" s="43">
        <v>0.55000000000000004</v>
      </c>
    </row>
    <row r="72" spans="1:11" x14ac:dyDescent="0.35">
      <c r="F72" t="s">
        <v>87</v>
      </c>
      <c r="G72" s="20">
        <f>B48</f>
        <v>1657</v>
      </c>
      <c r="H72" s="20">
        <f>B39</f>
        <v>580</v>
      </c>
      <c r="I72" s="20">
        <f>G72-H72</f>
        <v>1077</v>
      </c>
      <c r="J72" s="4">
        <f>I72*278</f>
        <v>299406</v>
      </c>
      <c r="K72" s="43">
        <v>0.65</v>
      </c>
    </row>
    <row r="73" spans="1:11" x14ac:dyDescent="0.35">
      <c r="A73" s="157" t="s">
        <v>361</v>
      </c>
      <c r="B73" s="157" t="s">
        <v>147</v>
      </c>
      <c r="C73" s="157" t="s">
        <v>1787</v>
      </c>
      <c r="D73" s="157" t="s">
        <v>1788</v>
      </c>
    </row>
    <row r="74" spans="1:11" x14ac:dyDescent="0.35">
      <c r="A74" t="s">
        <v>1863</v>
      </c>
      <c r="B74" t="s">
        <v>1864</v>
      </c>
      <c r="C74" s="1">
        <f>25*B31</f>
        <v>1100</v>
      </c>
      <c r="D74" s="36">
        <f>C74-B54</f>
        <v>133</v>
      </c>
      <c r="F74" s="241" t="s">
        <v>1745</v>
      </c>
      <c r="G74" s="241"/>
      <c r="H74" s="241"/>
    </row>
    <row r="75" spans="1:11" x14ac:dyDescent="0.35">
      <c r="A75" t="s">
        <v>1865</v>
      </c>
      <c r="B75" t="s">
        <v>1866</v>
      </c>
      <c r="C75" s="1">
        <f>50*B31</f>
        <v>2200</v>
      </c>
      <c r="D75" s="36">
        <f>C75-B54</f>
        <v>1233</v>
      </c>
      <c r="F75" t="s">
        <v>1646</v>
      </c>
      <c r="G75" s="203">
        <v>100</v>
      </c>
    </row>
    <row r="76" spans="1:11" x14ac:dyDescent="0.35">
      <c r="A76" t="s">
        <v>1869</v>
      </c>
      <c r="B76" t="s">
        <v>1867</v>
      </c>
      <c r="C76" s="1">
        <f>18*B31</f>
        <v>792</v>
      </c>
      <c r="D76" s="36">
        <f>C76-B54</f>
        <v>-175</v>
      </c>
      <c r="F76" t="s">
        <v>1647</v>
      </c>
      <c r="G76" s="145">
        <f>G75*278</f>
        <v>27800</v>
      </c>
    </row>
    <row r="77" spans="1:11" x14ac:dyDescent="0.35">
      <c r="A77" s="217" t="s">
        <v>1789</v>
      </c>
      <c r="B77" s="217" t="s">
        <v>1868</v>
      </c>
      <c r="C77" s="218">
        <f>B54</f>
        <v>967</v>
      </c>
      <c r="D77" s="217" t="s">
        <v>1814</v>
      </c>
      <c r="F77" t="s">
        <v>1621</v>
      </c>
      <c r="G77" s="57" t="s">
        <v>1753</v>
      </c>
    </row>
    <row r="79" spans="1:11" x14ac:dyDescent="0.35">
      <c r="A79" s="241" t="s">
        <v>1819</v>
      </c>
      <c r="B79" s="241"/>
      <c r="C79" s="241"/>
      <c r="D79" s="241"/>
    </row>
    <row r="81" spans="1:4" x14ac:dyDescent="0.35">
      <c r="A81" t="s">
        <v>1820</v>
      </c>
      <c r="B81" s="213">
        <f>B45</f>
        <v>773</v>
      </c>
      <c r="C81" s="214">
        <f>B81*278</f>
        <v>214894</v>
      </c>
    </row>
    <row r="82" spans="1:4" x14ac:dyDescent="0.35">
      <c r="A82" s="50" t="s">
        <v>1785</v>
      </c>
      <c r="B82" s="213">
        <f>B54</f>
        <v>967</v>
      </c>
      <c r="C82" s="214">
        <f>B82*278</f>
        <v>268826</v>
      </c>
    </row>
    <row r="83" spans="1:4" x14ac:dyDescent="0.35">
      <c r="A83" t="s">
        <v>1821</v>
      </c>
      <c r="B83" s="213">
        <f>B48</f>
        <v>1657</v>
      </c>
      <c r="C83" s="214">
        <f>B83*278</f>
        <v>460646</v>
      </c>
    </row>
    <row r="85" spans="1:4" ht="16" x14ac:dyDescent="0.4">
      <c r="A85" s="150" t="s">
        <v>1786</v>
      </c>
      <c r="B85" s="297" t="str">
        <f>"$"&amp;B81&amp;" - $"&amp;B83</f>
        <v>$773 - $1657</v>
      </c>
      <c r="C85" s="298"/>
      <c r="D85" s="298"/>
    </row>
  </sheetData>
  <mergeCells count="20">
    <mergeCell ref="G63:H63"/>
    <mergeCell ref="G64:H64"/>
    <mergeCell ref="G65:H65"/>
    <mergeCell ref="A79:D79"/>
    <mergeCell ref="B85:D85"/>
    <mergeCell ref="F67:K67"/>
    <mergeCell ref="F74:H74"/>
    <mergeCell ref="A63:D63"/>
    <mergeCell ref="A71:D71"/>
    <mergeCell ref="F62:K62"/>
    <mergeCell ref="A42:D42"/>
    <mergeCell ref="A50:D50"/>
    <mergeCell ref="F4:K4"/>
    <mergeCell ref="A57:D57"/>
    <mergeCell ref="A25:D25"/>
    <mergeCell ref="A1:H1"/>
    <mergeCell ref="A2:H2"/>
    <mergeCell ref="A4:D4"/>
    <mergeCell ref="A9:D9"/>
    <mergeCell ref="A18:D18"/>
  </mergeCells>
  <conditionalFormatting sqref="B11">
    <cfRule type="expression" dxfId="1" priority="5">
      <formula>VLOOKUP($B$7,$F$6:$K$60,4,FALSE)=0</formula>
    </cfRule>
  </conditionalFormatting>
  <conditionalFormatting sqref="B12">
    <cfRule type="expression" dxfId="0" priority="6">
      <formula>VLOOKUP($B$7,$F$6:$K$60,5,FALSE)=0</formula>
    </cfRule>
  </conditionalFormatting>
  <dataValidations count="8">
    <dataValidation type="list" allowBlank="1" showInputMessage="1" showErrorMessage="1" sqref="B14" xr:uid="{765F496E-5C29-402B-BBAC-BCF087DE2487}">
      <formula1>"YES,NO"</formula1>
    </dataValidation>
    <dataValidation type="list" allowBlank="1" showInputMessage="1" showErrorMessage="1" sqref="B20" xr:uid="{4E3C3AE3-5636-4C45-90C7-31C18AACF47C}">
      <formula1>"SIMPLE,STANDARD,COMPLEX,EXPERT"</formula1>
    </dataValidation>
    <dataValidation type="list" allowBlank="1" showInputMessage="1" showErrorMessage="1" sqref="B21" xr:uid="{FF39A4A3-8057-4EBC-B7CA-BB3D988D22F1}">
      <formula1>"RELAXED,NORMAL,RUSH,URGENT"</formula1>
    </dataValidation>
    <dataValidation type="list" allowBlank="1" showInputMessage="1" showErrorMessage="1" sqref="B52" xr:uid="{1FE97F32-DDE8-4838-BF6E-4A6764310714}">
      <formula1>"ECONOMY (25%),STANDARD (40%),PREMIUM (55%),ENTERPRISE (65%)"</formula1>
    </dataValidation>
    <dataValidation type="list" allowBlank="1" showInputMessage="1" showErrorMessage="1" sqref="B22" xr:uid="{D789B664-68FE-4802-9FAC-CCC4FC752F12}">
      <formula1>"Individual,Small Business,Startup,Enterprise,Agency"</formula1>
    </dataValidation>
    <dataValidation type="list" allowBlank="1" showInputMessage="1" showErrorMessage="1" sqref="B15" xr:uid="{2D0B5A07-56C9-4E96-9AAA-94A3C32CF06D}">
      <formula1>"YES,NO,N/A"</formula1>
    </dataValidation>
    <dataValidation type="list" allowBlank="1" showInputMessage="1" showErrorMessage="1" sqref="B6" xr:uid="{573742AB-A808-4D1E-B3D9-89835EDABE77}">
      <formula1>"Creative &amp; Branding,Video &amp; Motion,Web Development,Mobile Apps,UI/UX Design,Marketing &amp; SEO,Content &amp; Writing,Business Tools,AI &amp; Advanced,DevOps &amp; Cloud,Consulting,Admin Support"</formula1>
    </dataValidation>
    <dataValidation type="list" allowBlank="1" showInputMessage="1" showErrorMessage="1" sqref="B7" xr:uid="{1BDDE3B0-B8F7-4EA7-B878-BE6484ECA80C}">
      <formula1>"$F$6:$F$62"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8171a5-38ed-4574-a25f-91c80a2fc2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E89DDC13124387E48FC25D86CEB3" ma:contentTypeVersion="7" ma:contentTypeDescription="Create a new document." ma:contentTypeScope="" ma:versionID="b1094c63b427d651ffa5acded4801c4c">
  <xsd:schema xmlns:xsd="http://www.w3.org/2001/XMLSchema" xmlns:xs="http://www.w3.org/2001/XMLSchema" xmlns:p="http://schemas.microsoft.com/office/2006/metadata/properties" xmlns:ns3="6a8171a5-38ed-4574-a25f-91c80a2fc2d6" targetNamespace="http://schemas.microsoft.com/office/2006/metadata/properties" ma:root="true" ma:fieldsID="233a3b7e72001ac55a17bb843154eb83" ns3:_="">
    <xsd:import namespace="6a8171a5-38ed-4574-a25f-91c80a2fc2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171a5-38ed-4574-a25f-91c80a2fc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1E2AAC-6EC3-4CB1-8481-A458219398F7}">
  <ds:schemaRefs>
    <ds:schemaRef ds:uri="http://schemas.openxmlformats.org/package/2006/metadata/core-properties"/>
    <ds:schemaRef ds:uri="6a8171a5-38ed-4574-a25f-91c80a2fc2d6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D453A3A-7F8D-4F83-ACAD-51A2E09DC5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8171a5-38ed-4574-a25f-91c80a2fc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069FDF-BF64-49E3-A674-64FADD84F7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Dashboard</vt:lpstr>
      <vt:lpstr>Pricing Calculator</vt:lpstr>
      <vt:lpstr>Outsource Network</vt:lpstr>
      <vt:lpstr>CampusAxis.pk</vt:lpstr>
      <vt:lpstr>AestheticsPlace.pk</vt:lpstr>
      <vt:lpstr>MegiCode Full Services</vt:lpstr>
      <vt:lpstr>MegiCode Complete Services</vt:lpstr>
      <vt:lpstr>Price Estimator</vt:lpstr>
      <vt:lpstr>ServiceDB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Ghulam Mujtaba</dc:creator>
  <cp:lastModifiedBy>Ghulam Mujtaba</cp:lastModifiedBy>
  <dcterms:created xsi:type="dcterms:W3CDTF">2026-02-27T07:05:24Z</dcterms:created>
  <dcterms:modified xsi:type="dcterms:W3CDTF">2026-03-03T06:41:50Z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0x010100245DE89DDC13124387E48FC25D86CEB3</vt:lpwstr>
  </property>
</Properties>
</file>